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gende" sheetId="1" state="visible" r:id="rId3"/>
    <sheet name="Cas de test" sheetId="2" state="visible" r:id="rId4"/>
    <sheet name="Bugs" sheetId="3" state="visible" r:id="rId5"/>
    <sheet name="Synthèse" sheetId="4" state="visible" r:id="rId6"/>
  </sheets>
  <definedNames>
    <definedName function="false" hidden="true" localSheetId="2" name="_xlnm._FilterDatabase" vbProcedure="false">Bugs!$A$1:$H$30</definedName>
    <definedName function="false" hidden="true" localSheetId="1" name="_xlnm._FilterDatabase" vbProcedure="false">'Cas de test'!$A$1:$O$100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<sst xmlns="http://schemas.openxmlformats.org/spreadsheetml/2006/main" count="1758" uniqueCount="998">
  <si>
    <t xml:space="preserve">QuickOrder V3.1 — Cas de test et campagne</t>
  </si>
  <si>
    <t xml:space="preserve">Équipe</t>
  </si>
  <si>
    <t xml:space="preserve">Quality audit</t>
  </si>
  <si>
    <t xml:space="preserve">Date de la campagne</t>
  </si>
  <si>
    <t xml:space="preserve">12/10/2026</t>
  </si>
  <si>
    <t xml:space="preserve">Environnement</t>
  </si>
  <si>
    <t xml:space="preserve">QuickOrder V3.1 · base seedée (python seed.py) · http://127.0.0.1:5000 · Chromium (Playwright) · requests / curl · Python 3.13 · SQLite</t>
  </si>
  <si>
    <t xml:space="preserve">Onglets</t>
  </si>
  <si>
    <t xml:space="preserve">« Cas de test » (le plan et les résultats) · « Bugs » (index des anomalies) · « Synthèse » (comptages calculés par formules)</t>
  </si>
  <si>
    <t xml:space="preserve">Colonnes</t>
  </si>
  <si>
    <t xml:space="preserve">ID</t>
  </si>
  <si>
    <t xml:space="preserve">TC-&lt;catégorie&gt;-&lt;n°&gt;. NOM = nominal, LIM = limite, ERR = erreur, RM = règle métier, ENV/NFR/EXT = complémentaire (environnement, non fonctionnel, vérifications additionnelles).</t>
  </si>
  <si>
    <t xml:space="preserve">Catégorie</t>
  </si>
  <si>
    <t xml:space="preserve">Nominal · Limite · Erreur · Règle métier · Complémentaire (environnement et non fonctionnel).</t>
  </si>
  <si>
    <t xml:space="preserve">Canal</t>
  </si>
  <si>
    <t xml:space="preserve">UI = interface web · API = Swagger / curl · Env = installation et exécution.</t>
  </si>
  <si>
    <t xml:space="preserve">Priorité</t>
  </si>
  <si>
    <t xml:space="preserve">P1 = parcours critique ou règle financière · P2 = important · P3 = confort ou rare.</t>
  </si>
  <si>
    <t xml:space="preserve">Statut</t>
  </si>
  <si>
    <t xml:space="preserve">Pass = résultat conforme · Fail = écart constaté (bug lié) · Blocked = test impossible à exécuter (cause tracée) · Skipped = non tranché (règle métier à clarifier, motif tracé).</t>
  </si>
  <si>
    <t xml:space="preserve">Bug lié</t>
  </si>
  <si>
    <t xml:space="preserve">Référence de la fiche dans docs/bug-reports/.</t>
  </si>
  <si>
    <t xml:space="preserve">Preuves</t>
  </si>
  <si>
    <t xml:space="preserve">Fichiers du dossier docs/evidence/ : captures PNG (TC-xx_nn_libellé.png), traces de requêtes/réponses (TC-xx.txt), vidéo (TC-RM-09). Les scripts qui ont produit ces résultats sont dans docs/automation/.</t>
  </si>
  <si>
    <t xml:space="preserve">Jeu de données</t>
  </si>
  <si>
    <t xml:space="preserve">Comptes</t>
  </si>
  <si>
    <t xml:space="preserve">alice@example.com / Password123! · bob@example.com / Password123! · admin@quickorder.local / Admin123! · clé API : quickorder-demo-key (agit comme Alice).</t>
  </si>
  <si>
    <t xml:space="preserve">Restaurants (id)</t>
  </si>
  <si>
    <t xml:space="preserve">1 Burger Factory (min 20 €, livraison 2,99 €) · 2 Tokyo Bowl (15 €, 3,49 €) · 3 Green Kitchen (12 €, 1,99 €) · 4 Pizza Roma (12 €, 2,49 €) · 5 Couscous Atlas (25 €, 2,99 €) · 6 Night Sushi (FERMÉ, 10 €, 2,99 €).</t>
  </si>
  <si>
    <t xml:space="preserve">Produits clés (id)</t>
  </si>
  <si>
    <t xml:space="preserve">1 Classic Burger 11,90 € · 3 Frites maison 3,50 € · 4 Veggie Burger (stock 0) · 6 Chicken Teriyaki 13,50 € · 7 Salmon Bowl 15,90 € (stock 2) · 20 Couscous Royal 17,90 € · 24 Late Sushi Box (restaurant fermé) 14,00 €.</t>
  </si>
  <si>
    <t xml:space="preserve">Coupons</t>
  </si>
  <si>
    <t xml:space="preserve">WELCOME10 10 % (min 20 €, plafond 8 €) · SAVE20 20 % (min 35 €, plafond 12 €) · LUNCH5 5 % (min 10 €, plafond 5 €) · TOKYO30 100 % plafonné à 3,49 € (min 30 €) · ATLAS15 10 % (min 20 €, plafond 50 €) · EXPIRED10 expiré.</t>
  </si>
  <si>
    <t xml:space="preserve">Commande existante</t>
  </si>
  <si>
    <t xml:space="preserve">#1 d'Alice, statut delivered (Classic Burger + Frites maison, 18,39 €).</t>
  </si>
  <si>
    <t xml:space="preserve">Module</t>
  </si>
  <si>
    <t xml:space="preserve">Titre</t>
  </si>
  <si>
    <t xml:space="preserve">Objectif</t>
  </si>
  <si>
    <t xml:space="preserve">Préconditions</t>
  </si>
  <si>
    <t xml:space="preserve">Données</t>
  </si>
  <si>
    <t xml:space="preserve">Étapes</t>
  </si>
  <si>
    <t xml:space="preserve">Résultat attendu</t>
  </si>
  <si>
    <t xml:space="preserve">Résultat obtenu</t>
  </si>
  <si>
    <t xml:space="preserve">Preuves (docs/evidence/)</t>
  </si>
  <si>
    <t xml:space="preserve">TC-NOM-01</t>
  </si>
  <si>
    <t xml:space="preserve">Nominal</t>
  </si>
  <si>
    <t xml:space="preserve">Catalogue</t>
  </si>
  <si>
    <t xml:space="preserve">UI</t>
  </si>
  <si>
    <t xml:space="preserve">P1</t>
  </si>
  <si>
    <t xml:space="preserve">Afficher la liste des restaurants</t>
  </si>
  <si>
    <t xml:space="preserve">Vérifier que l'accueil liste les restaurants triés par note décroissante.</t>
  </si>
  <si>
    <t xml:space="preserve">Base seedée (python seed.py), application lancée ; visiteur non connecté</t>
  </si>
  <si>
    <t xml:space="preserve">Aucune</t>
  </si>
  <si>
    <t xml:space="preserve">1. Ouvrir http://127.0.0.1:5000/
2. Observer les cartes et leur ordre</t>
  </si>
  <si>
    <t xml:space="preserve">6 restaurants, du mieux noté au moins bien noté (Couscous Atlas 4.9, Tokyo Bowl 4.8, Burger Factory 4.7, Green Kitchen 4.5, Pizza Roma 4.3, Night Sushi 3.8) avec badge OUVERT/FERMÉ, frais, minimum, délai.</t>
  </si>
  <si>
    <t xml:space="preserve">6 restaurants listés par note décroissante, Night Sushi marqué FERMÉ.</t>
  </si>
  <si>
    <t xml:space="preserve">Pass</t>
  </si>
  <si>
    <t xml:space="preserve">TC-NOM-01_01_accueil.png
TC-NOM-01.txt</t>
  </si>
  <si>
    <t xml:space="preserve">TC-NOM-02</t>
  </si>
  <si>
    <t xml:space="preserve">Authentification</t>
  </si>
  <si>
    <t xml:space="preserve">Inscription avec des données valides</t>
  </si>
  <si>
    <t xml:space="preserve">Créer un compte client et vérifier la connexion automatique.</t>
  </si>
  <si>
    <t xml:space="preserve">Nom : Test QA ; email : test.qa1@example.com ; mot de passe : Password123!</t>
  </si>
  <si>
    <t xml:space="preserve">1. Ouvrir /register
2. Renseigner le formulaire
3. Cliquer sur « Créer mon compte »</t>
  </si>
  <si>
    <t xml:space="preserve">Compte créé, utilisateur connecté, redirection vers l'accueil ; la barre de navigation affiche « Test QA » et « Déconnexion ».</t>
  </si>
  <si>
    <t xml:space="preserve">Compte créé, utilisateur connecté et redirigé vers l'accueil.</t>
  </si>
  <si>
    <t xml:space="preserve">TC-NOM-02_01_formulaire.png
TC-NOM-02_02_apres_inscription.png</t>
  </si>
  <si>
    <t xml:space="preserve">TC-NOM-03</t>
  </si>
  <si>
    <t xml:space="preserve">Connexion avec un compte valide</t>
  </si>
  <si>
    <t xml:space="preserve">Vérifier la connexion d'un client existant.</t>
  </si>
  <si>
    <t xml:space="preserve">Base seedée (python seed.py), application lancée</t>
  </si>
  <si>
    <t xml:space="preserve">alice@example.com / Password123!</t>
  </si>
  <si>
    <t xml:space="preserve">1. Ouvrir /login
2. Saisir les identifiants
3. Cliquer sur « Se connecter »</t>
  </si>
  <si>
    <t xml:space="preserve">Redirection vers l'accueil ; « Alice Martin », « Commandes » et « Mon profil » apparaissent.</t>
  </si>
  <si>
    <t xml:space="preserve">Connexion réussie, redirection vers l'accueil, lien Déconnexion visible.</t>
  </si>
  <si>
    <t xml:space="preserve">TC-NOM-03_01_connecte.png</t>
  </si>
  <si>
    <t xml:space="preserve">TC-NOM-04</t>
  </si>
  <si>
    <t xml:space="preserve">P2</t>
  </si>
  <si>
    <t xml:space="preserve">Consulter le menu d'un restaurant</t>
  </si>
  <si>
    <t xml:space="preserve">Vérifier l'affichage des produits, prix, calories, stock et marque végétarienne.</t>
  </si>
  <si>
    <t xml:space="preserve">Restaurant : Burger Factory (id 1)</t>
  </si>
  <si>
    <t xml:space="preserve">1. Depuis l'accueil, cliquer sur « Voir le menu » de Burger Factory
2. Observer les 5 produits</t>
  </si>
  <si>
    <t xml:space="preserve">5 produits avec prix, kcal, stock ; « Végétarien » sur Frites maison et Veggie Burger ; bandeau HORS STOCK sur Veggie Burger (stock 0).</t>
  </si>
  <si>
    <t xml:space="preserve">Menu affiché : produits, prix, stock, catégories et formulaire d'ajout.</t>
  </si>
  <si>
    <t xml:space="preserve">TC-NOM-04_01_menu_burger_factory.png</t>
  </si>
  <si>
    <t xml:space="preserve">TC-NOM-05</t>
  </si>
  <si>
    <t xml:space="preserve">Panier</t>
  </si>
  <si>
    <t xml:space="preserve">Ajouter un produit au panier</t>
  </si>
  <si>
    <t xml:space="preserve">Vérifier l'ajout et le calcul du total.</t>
  </si>
  <si>
    <t xml:space="preserve">Base seedée (python seed.py), application lancée ; panier vide</t>
  </si>
  <si>
    <t xml:space="preserve">Classic Burger (id 1, 11,90 €), quantité 1</t>
  </si>
  <si>
    <t xml:space="preserve">1. Ouvrir le menu de Burger Factory
2. Cliquer sur « Ajouter » pour Classic Burger
3. Ouvrir /cart</t>
  </si>
  <si>
    <t xml:space="preserve">Message « Classic Burger ajouté au panier. » ; panier : sous-total 11,90 €, livraison 2,99 €, total 14,89 €.</t>
  </si>
  <si>
    <t xml:space="preserve">Message de confirmation ; panier : sous-total 11,90 €, livraison 2,99 €, total 14,89 €.</t>
  </si>
  <si>
    <t xml:space="preserve">TC-NOM-05_01_apres_ajout.png
TC-NOM-05_02_panier.png
TC-NOM-05.txt</t>
  </si>
  <si>
    <t xml:space="preserve">TC-NOM-06</t>
  </si>
  <si>
    <t xml:space="preserve">Modifier la quantité d'un produit du panier</t>
  </si>
  <si>
    <t xml:space="preserve">Vérifier la mise à jour des totaux.</t>
  </si>
  <si>
    <t xml:space="preserve">Base seedée (python seed.py), application lancée ; panier contenant 1 Classic Burger</t>
  </si>
  <si>
    <t xml:space="preserve">Quantité : 3</t>
  </si>
  <si>
    <t xml:space="preserve">1. Ouvrir /cart
2. Saisir 3 dans la quantité
3. Cliquer sur « Mettre à jour »</t>
  </si>
  <si>
    <t xml:space="preserve">Ligne 35,70 € ; sous-total 35,70 € ; total 38,69 €.</t>
  </si>
  <si>
    <t xml:space="preserve">Sous-total 35,70 € ; total 38,69 €.</t>
  </si>
  <si>
    <t xml:space="preserve">TC-NOM-06_01_panier_x3.png</t>
  </si>
  <si>
    <t xml:space="preserve">TC-NOM-07</t>
  </si>
  <si>
    <t xml:space="preserve">Commande</t>
  </si>
  <si>
    <t xml:space="preserve">Commande complète par carte avec coupon WELCOME10</t>
  </si>
  <si>
    <t xml:space="preserve">Valider le parcours critique achat de bout en bout.</t>
  </si>
  <si>
    <t xml:space="preserve">Base seedée (python seed.py), application lancée ; Alice connectée ; panier : 2 × Classic Burger (23,80 €)</t>
  </si>
  <si>
    <t xml:space="preserve">Coupon WELCOME10 ; paiement Carte bancaire ; adresse par défaut</t>
  </si>
  <si>
    <t xml:space="preserve">1. Ouvrir /checkout
2. Saisir WELCOME10 et cliquer sur « Appliquer »
3. Choisir Carte bancaire
4. Cliquer sur « Confirmer »</t>
  </si>
  <si>
    <t xml:space="preserve">Réduction de 2,38 € (10 % de 23,80 €) ; total 24,41 € (23,80 − 2,38 + 2,99).</t>
  </si>
  <si>
    <t xml:space="preserve">Commande #2 confirmée ; réduction 2,38 € ; total 24.41 €.</t>
  </si>
  <si>
    <t xml:space="preserve">TC-NOM-07_01_checkout.png
TC-NOM-07_02_recap_coupon.png
TC-NOM-07_03_commande_confirmee.png
TC-NOM-07.txt</t>
  </si>
  <si>
    <t xml:space="preserve">TC-NOM-08</t>
  </si>
  <si>
    <t xml:space="preserve">Annuler une commande confirmée</t>
  </si>
  <si>
    <t xml:space="preserve">Vérifier l'annulation par le client.</t>
  </si>
  <si>
    <t xml:space="preserve">Base seedée (python seed.py), application lancée ; Alice a une commande « confirmed »</t>
  </si>
  <si>
    <t xml:space="preserve">Commande créée en TC-NOM-07</t>
  </si>
  <si>
    <t xml:space="preserve">1. Ouvrir le détail de la commande
2. Cliquer sur « Annuler la commande »</t>
  </si>
  <si>
    <t xml:space="preserve">Statut « cancelled » et message « Commande annulée. ».</t>
  </si>
  <si>
    <t xml:space="preserve">Commande #2 passée à l'état annulé (badge « cancelled »).</t>
  </si>
  <si>
    <t xml:space="preserve">TC-NOM-08_01_annulee.png
TC-NOM-08.txt</t>
  </si>
  <si>
    <t xml:space="preserve">TC-NOM-09</t>
  </si>
  <si>
    <t xml:space="preserve">API</t>
  </si>
  <si>
    <t xml:space="preserve">Lister les restaurants avec une clé valide</t>
  </si>
  <si>
    <t xml:space="preserve">Vérifier GET /api/restaurants.</t>
  </si>
  <si>
    <t xml:space="preserve">Base seedée (python seed.py), application lancée ; clé quickorder-demo-key</t>
  </si>
  <si>
    <t xml:space="preserve">Header X-API-Key: quickorder-demo-key</t>
  </si>
  <si>
    <t xml:space="preserve">1. GET /api/restaurants avec la clé</t>
  </si>
  <si>
    <t xml:space="preserve">200 ; count = 6 ; items triés par note décroissante avec tous les champs documentés.</t>
  </si>
  <si>
    <t xml:space="preserve">200 et 6 restaurants au format JSON.</t>
  </si>
  <si>
    <t xml:space="preserve">TC-NOM-09.txt</t>
  </si>
  <si>
    <t xml:space="preserve">TC-NOM-10</t>
  </si>
  <si>
    <t xml:space="preserve">Créer une commande par carte via l'API</t>
  </si>
  <si>
    <t xml:space="preserve">Vérifier POST /api/orders nominal.</t>
  </si>
  <si>
    <t xml:space="preserve">Base seedée (python seed.py), application lancée ; clé valide</t>
  </si>
  <si>
    <t xml:space="preserve">{"items":[{"product_id":1,"quantity":1}],"payment_method":"card"}</t>
  </si>
  <si>
    <t xml:space="preserve">1. POST /api/orders avec le corps ci-dessus</t>
  </si>
  <si>
    <t xml:space="preserve">201 ; status « confirmed », payment_status « paid », total 14,89, 1 ligne d'article.</t>
  </si>
  <si>
    <t xml:space="preserve">201, commande confirmée, total 14,89 €.</t>
  </si>
  <si>
    <t xml:space="preserve">TC-NOM-10.txt</t>
  </si>
  <si>
    <t xml:space="preserve">TC-NOM-11</t>
  </si>
  <si>
    <t xml:space="preserve">Rechercher un restaurant par son nom</t>
  </si>
  <si>
    <t xml:space="preserve">Vérifier le filtre texte sur le nom.</t>
  </si>
  <si>
    <t xml:space="preserve">q = pizza</t>
  </si>
  <si>
    <t xml:space="preserve">1. Saisir « pizza » dans la recherche
2. Cliquer sur « Rechercher »</t>
  </si>
  <si>
    <t xml:space="preserve">Seule Pizza Roma est affichée.</t>
  </si>
  <si>
    <t xml:space="preserve">Seul Pizza Roma est affiché.</t>
  </si>
  <si>
    <t xml:space="preserve">TC-NOM-11_01_recherche_pizza.png</t>
  </si>
  <si>
    <t xml:space="preserve">TC-NOM-12</t>
  </si>
  <si>
    <t xml:space="preserve">P3</t>
  </si>
  <si>
    <t xml:space="preserve">Trier les restaurants par délai de livraison</t>
  </si>
  <si>
    <t xml:space="preserve">Vérifier le tri « Plus rapide ».</t>
  </si>
  <si>
    <t xml:space="preserve">sort = time</t>
  </si>
  <si>
    <t xml:space="preserve">1. Choisir « Plus rapide »
2. Cliquer sur « Rechercher »</t>
  </si>
  <si>
    <t xml:space="preserve">Ordre : Green Kitchen (20), Burger Factory (25), Pizza Roma (30), Tokyo Bowl (35), Couscous Atlas (40), Night Sushi (45).</t>
  </si>
  <si>
    <t xml:space="preserve">Restaurants triés par délai croissant.</t>
  </si>
  <si>
    <t xml:space="preserve">TC-NOM-12_01_tri_delai.png
TC-NOM-12.txt</t>
  </si>
  <si>
    <t xml:space="preserve">TC-NOM-13</t>
  </si>
  <si>
    <t xml:space="preserve">Profil</t>
  </si>
  <si>
    <t xml:space="preserve">Ajouter une adresse par défaut</t>
  </si>
  <si>
    <t xml:space="preserve">Vérifier la création d'adresse et le changement de défaut.</t>
  </si>
  <si>
    <t xml:space="preserve">Base seedée (python seed.py), application lancée ; Alice connectée</t>
  </si>
  <si>
    <t xml:space="preserve">Label : Travail ; rue : 5 rue Neuve ; CP : 75002 ; ville : Paris ; défaut coché</t>
  </si>
  <si>
    <t xml:space="preserve">1. Ouvrir /profile
2. Remplir « Ajouter une adresse » et cocher « Adresse par défaut »
3. Valider</t>
  </si>
  <si>
    <t xml:space="preserve">Message « Adresse ajoutée. » ; la nouvelle adresse porte « Par défaut » et Domicile ne l'est plus.</t>
  </si>
  <si>
    <t xml:space="preserve">Adresse « Travail » ajoutée et définie par défaut.</t>
  </si>
  <si>
    <t xml:space="preserve">TC-NOM-13_01_profil.png</t>
  </si>
  <si>
    <t xml:space="preserve">TC-NOM-14</t>
  </si>
  <si>
    <t xml:space="preserve">Commander à nouveau une commande passée</t>
  </si>
  <si>
    <t xml:space="preserve">Vérifier la fonction « Commander à nouveau ».</t>
  </si>
  <si>
    <t xml:space="preserve">Base seedée (python seed.py), application lancée ; Alice connectée (commande #1 livrée)</t>
  </si>
  <si>
    <t xml:space="preserve">Commande #1 (Classic Burger + Frites maison)</t>
  </si>
  <si>
    <t xml:space="preserve">1. Ouvrir /orders/1
2. Cliquer sur « Commander à nouveau »</t>
  </si>
  <si>
    <t xml:space="preserve">Message « 2 produit(s) ajouté(s) au panier. » et panier contenant les 2 articles.</t>
  </si>
  <si>
    <t xml:space="preserve">Panier rempli avec Classic Burger et Frites maison.</t>
  </si>
  <si>
    <t xml:space="preserve">TC-NOM-14_01_panier_recommande.png</t>
  </si>
  <si>
    <t xml:space="preserve">TC-NOM-15</t>
  </si>
  <si>
    <t xml:space="preserve">Favoris</t>
  </si>
  <si>
    <t xml:space="preserve">Ajouter un restaurant aux favoris depuis l'interface</t>
  </si>
  <si>
    <t xml:space="preserve">Vérifier la fonction favoris annoncée au README.</t>
  </si>
  <si>
    <t xml:space="preserve">Restaurant : Pizza Roma</t>
  </si>
  <si>
    <t xml:space="preserve">1. Ouvrir la fiche Pizza Roma
2. Chercher un bouton ou une icône « Favori »</t>
  </si>
  <si>
    <t xml:space="preserve">Un contrôle permet d'ajouter le restaurant aux favoris, visible ensuite dans /profile.</t>
  </si>
  <si>
    <t xml:space="preserve">Aucun bouton « favori » dans l'interface : la route POST /favorite/&lt;id&gt; existe mais n'est reliée à aucun écran. Cas non exécutable par l'UI.</t>
  </si>
  <si>
    <t xml:space="preserve">Blocked</t>
  </si>
  <si>
    <t xml:space="preserve">BUG-022</t>
  </si>
  <si>
    <t xml:space="preserve">TC-NOM-15_01_menu_pizza_roma.png
TC-NOM-15.txt</t>
  </si>
  <si>
    <t xml:space="preserve">TC-NOM-16</t>
  </si>
  <si>
    <t xml:space="preserve">Supprimer une adresse depuis l'interface</t>
  </si>
  <si>
    <t xml:space="preserve">Vérifier la gestion des adresses.</t>
  </si>
  <si>
    <t xml:space="preserve">Base seedée (python seed.py), application lancée ; Alice connectée avec 2 adresses</t>
  </si>
  <si>
    <t xml:space="preserve">Adresse « Travail »</t>
  </si>
  <si>
    <t xml:space="preserve">1. Ouvrir /profile
2. Chercher une action de suppression sur l'adresse « Travail »</t>
  </si>
  <si>
    <t xml:space="preserve">Une action permet de supprimer l'adresse.</t>
  </si>
  <si>
    <t xml:space="preserve">Aucun bouton « Supprimer » dans l'interface : la route /profile/address/&lt;id&gt;/delete n'est reliée à aucun écran.</t>
  </si>
  <si>
    <t xml:space="preserve">TC-NOM-16_01_profil_adresses.png
TC-NOM-16.txt</t>
  </si>
  <si>
    <t xml:space="preserve">TC-LIM-01</t>
  </si>
  <si>
    <t xml:space="preserve">Limite</t>
  </si>
  <si>
    <t xml:space="preserve">Coupon : sous-total exactement égal au minimum</t>
  </si>
  <si>
    <t xml:space="preserve">Vérifier que le minimum est inclusif.</t>
  </si>
  <si>
    <t xml:space="preserve">{"code":"WELCOME10","subtotal":20.00}</t>
  </si>
  <si>
    <t xml:space="preserve">1. POST /api/coupons/validate</t>
  </si>
  <si>
    <t xml:space="preserve">200 ; valid = true ; discount = 2.0.</t>
  </si>
  <si>
    <t xml:space="preserve">Coupon valide, réduction 2,00 € (10 % de 20 €).</t>
  </si>
  <si>
    <t xml:space="preserve">TC-LIM-01.txt</t>
  </si>
  <si>
    <t xml:space="preserve">TC-LIM-02</t>
  </si>
  <si>
    <t xml:space="preserve">Coupon : sous-total juste sous le minimum</t>
  </si>
  <si>
    <t xml:space="preserve">Vérifier le refus à 19,99 €.</t>
  </si>
  <si>
    <t xml:space="preserve">{"code":"WELCOME10","subtotal":19.99}</t>
  </si>
  <si>
    <t xml:space="preserve">Réduction refusée avec message explicite et minimum rappelé.</t>
  </si>
  <si>
    <t xml:space="preserve">Coupon refusé : minimum 20 € non atteint.</t>
  </si>
  <si>
    <t xml:space="preserve">TC-LIM-02.txt</t>
  </si>
  <si>
    <t xml:space="preserve">TC-LIM-03</t>
  </si>
  <si>
    <t xml:space="preserve">Coupon : plafond de réduction</t>
  </si>
  <si>
    <t xml:space="preserve">Vérifier max_discount de WELCOME10 (8 €).</t>
  </si>
  <si>
    <t xml:space="preserve">{"code":"WELCOME10","subtotal":100}</t>
  </si>
  <si>
    <t xml:space="preserve">Réduction plafonnée à 8,00 € (max_discount de WELCOME10).</t>
  </si>
  <si>
    <t xml:space="preserve">TC-LIM-03.txt</t>
  </si>
  <si>
    <t xml:space="preserve">TC-LIM-04</t>
  </si>
  <si>
    <t xml:space="preserve">Mot de passe de 7 puis 8 caractères</t>
  </si>
  <si>
    <t xml:space="preserve">Vérifier la longueur minimale de 8 caractères.</t>
  </si>
  <si>
    <t xml:space="preserve">Pass123 (7 car.) puis Pass1234 (8 car.) ; emails distincts</t>
  </si>
  <si>
    <t xml:space="preserve">1. Ouvrir /register
2. Tenter la création avec 7 caractères
3. Retirer l'attribut minlength via DevTools et renvoyer
4. Créer ensuite un compte avec 8 caractères</t>
  </si>
  <si>
    <t xml:space="preserve">7 caractères refusés (navigateur puis serveur) ; 8 caractères acceptés.</t>
  </si>
  <si>
    <t xml:space="preserve">7 caractères refusé (message), 8 caractères accepté.</t>
  </si>
  <si>
    <t xml:space="preserve">TC-LIM-04_01_mdp_7_car.png
TC-LIM-04_02_mdp_8_car.png
TC-LIM-04.txt</t>
  </si>
  <si>
    <t xml:space="preserve">TC-LIM-05</t>
  </si>
  <si>
    <t xml:space="preserve">Quantité API : 20 acceptée, 21 refusée</t>
  </si>
  <si>
    <t xml:space="preserve">Vérifier la borne haute documentée (1 à 20).</t>
  </si>
  <si>
    <t xml:space="preserve">product_id 1 ; quantity 20 puis 21</t>
  </si>
  <si>
    <t xml:space="preserve">1. POST /api/orders avec quantity 20
2. POST /api/orders avec quantity 21</t>
  </si>
  <si>
    <t xml:space="preserve">20 → 201 ; 21 → 400 « quantity must be between 1 and 20 ».</t>
  </si>
  <si>
    <t xml:space="preserve">20 → 201 ; 21 → 400.</t>
  </si>
  <si>
    <t xml:space="preserve">TC-LIM-05.txt</t>
  </si>
  <si>
    <t xml:space="preserve">TC-LIM-06</t>
  </si>
  <si>
    <t xml:space="preserve">Quantité API : 0 et valeurs négatives</t>
  </si>
  <si>
    <t xml:space="preserve">Vérifier la borne basse.</t>
  </si>
  <si>
    <t xml:space="preserve">quantity 0, -1 et "abc"</t>
  </si>
  <si>
    <t xml:space="preserve">1. POST /api/orders avec chaque valeur</t>
  </si>
  <si>
    <t xml:space="preserve">400 pour chaque valeur.</t>
  </si>
  <si>
    <t xml:space="preserve">0, -1 et « abc » → 400.</t>
  </si>
  <si>
    <t xml:space="preserve">TC-LIM-06.txt</t>
  </si>
  <si>
    <t xml:space="preserve">TC-LIM-07</t>
  </si>
  <si>
    <t xml:space="preserve">Filtre « Livraison max ≤ 2,00 € »</t>
  </si>
  <si>
    <t xml:space="preserve">Vérifier que le filtre ne garde que les frais ≤ au seuil.</t>
  </si>
  <si>
    <t xml:space="preserve">max_delivery = 2.00 (puis 2.50)</t>
  </si>
  <si>
    <t xml:space="preserve">1. Choisir « ≤ 2,00 € »
2. Cliquer sur « Rechercher »
3. Recommencer avec « ≤ 2,50 € »</t>
  </si>
  <si>
    <t xml:space="preserve">2,00 € : Green Kitchen seul (1,99 €) ; 2,50 € : Green Kitchen et Pizza Roma (2,49 €).</t>
  </si>
  <si>
    <t xml:space="preserve">≤2,00 € → ['Couscous Atlas', 'Tokyo Bowl', 'Burger Factory', 'Pizza Roma', 'Night Sushi'] ; ≤2,50 € → ['Couscous Atlas', 'Tokyo Bowl', 'Burger Factory', 'Night Sushi'] (filtre inversé : affiche les frais ≥ plafond)</t>
  </si>
  <si>
    <t xml:space="preserve">Fail</t>
  </si>
  <si>
    <t xml:space="preserve">BUG-006</t>
  </si>
  <si>
    <t xml:space="preserve">TC-LIM-07_01_max_2.00.png
TC-LIM-07_02_max_2.50.png
TC-LIM-07.txt</t>
  </si>
  <si>
    <t xml:space="preserve">TC-LIM-08</t>
  </si>
  <si>
    <t xml:space="preserve">Stock</t>
  </si>
  <si>
    <t xml:space="preserve">Quantité supérieure au stock disponible</t>
  </si>
  <si>
    <t xml:space="preserve">Vérifier le contrôle de stock à l'ajout et à la commande.</t>
  </si>
  <si>
    <t xml:space="preserve">Salmon Bowl (id 7, stock 2) ; quantité 3</t>
  </si>
  <si>
    <t xml:space="preserve">1. Ouvrir le menu de Tokyo Bowl
2. Ajouter 3 Salmon Bowl
3. Passer commande par carte</t>
  </si>
  <si>
    <t xml:space="preserve">Ajout ou commande refusé (stock insuffisant) ; stock jamais négatif.</t>
  </si>
  <si>
    <t xml:space="preserve">Quantité 3 acceptée au panier pour un stock de 2 (sous-total 47.70 €), commande #2 confirmée, stock final -1.</t>
  </si>
  <si>
    <t xml:space="preserve">BUG-004</t>
  </si>
  <si>
    <t xml:space="preserve">TC-LIM-08_01_panier_3_pour_stock_2.png
TC-LIM-08_02_commande_3_pour_stock_2.png
TC-LIM-08_03_stock_apres_commande.png
TC-LIM-08.txt</t>
  </si>
  <si>
    <t xml:space="preserve">TC-LIM-09</t>
  </si>
  <si>
    <t xml:space="preserve">Produit à stock 0 ajouté au panier</t>
  </si>
  <si>
    <t xml:space="preserve">Vérifier le comportement d'un produit hors stock.</t>
  </si>
  <si>
    <t xml:space="preserve">Veggie Burger (id 4, stock 0)</t>
  </si>
  <si>
    <t xml:space="preserve">1. Ouvrir le menu de Burger Factory
2. Constater le bandeau HORS STOCK
3. Cliquer sur « Ajouter »</t>
  </si>
  <si>
    <t xml:space="preserve">Ajout impossible (bouton désactivé ou message de refus).</t>
  </si>
  <si>
    <t xml:space="preserve">Veggie Burger (stock 0) ajouté au panier. Flashs : ['Veggie Burger ajouté au panier.', 'HORS STOCK — Ce produit est actuellement indisponible.']</t>
  </si>
  <si>
    <t xml:space="preserve">TC-LIM-09_01_apres_ajout.png
TC-LIM-09_02_panier.png</t>
  </si>
  <si>
    <t xml:space="preserve">TC-LIM-10</t>
  </si>
  <si>
    <t xml:space="preserve">Quantité extrême dans le panier</t>
  </si>
  <si>
    <t xml:space="preserve">Vérifier l'absence de plafond côté serveur.</t>
  </si>
  <si>
    <t xml:space="preserve">POST /cart/add/1 avec quantity=1000 (champ max=99 retiré dans DevTools ou curl)</t>
  </si>
  <si>
    <t xml:space="preserve">1. Envoyer la requête avec quantity=1000
2. Ouvrir /cart</t>
  </si>
  <si>
    <t xml:space="preserve">Quantité refusée ou plafonnée (max 99 côté UI, 20 côté API).</t>
  </si>
  <si>
    <t xml:space="preserve">1000 × Classic Burger au panier : sous-total 11900.00 € pour un stock de 100.</t>
  </si>
  <si>
    <t xml:space="preserve">TC-LIM-10_01_panier_1000.png
TC-LIM-10.txt</t>
  </si>
  <si>
    <t xml:space="preserve">TC-LIM-11</t>
  </si>
  <si>
    <t xml:space="preserve">Recherche avec caractère joker « % »</t>
  </si>
  <si>
    <t xml:space="preserve">Vérifier l'échappement des caractères spéciaux de recherche.</t>
  </si>
  <si>
    <t xml:space="preserve">q = %</t>
  </si>
  <si>
    <t xml:space="preserve">1. Saisir « % » dans la recherche
2. Rechercher</t>
  </si>
  <si>
    <t xml:space="preserve">Aucun restaurant (aucun nom ne contient « % »).</t>
  </si>
  <si>
    <t xml:space="preserve">6 restaurants affichés pour q=% : le caractère joker n'est pas échappé.</t>
  </si>
  <si>
    <t xml:space="preserve">BUG-013</t>
  </si>
  <si>
    <t xml:space="preserve">TC-LIM-11_01_recherche_pourcent.png</t>
  </si>
  <si>
    <t xml:space="preserve">TC-LIM-12</t>
  </si>
  <si>
    <t xml:space="preserve">Nom de 121 caractères à l'inscription</t>
  </si>
  <si>
    <t xml:space="preserve">Vérifier la limite de 120 caractères du modèle.</t>
  </si>
  <si>
    <t xml:space="preserve">Nom de 121 caractères ; email valide ; mot de passe Password123!</t>
  </si>
  <si>
    <t xml:space="preserve">1. Ouvrir /register
2. Saisir un nom de 121 caractères
3. Valider</t>
  </si>
  <si>
    <t xml:space="preserve">Message de validation (nom trop long).</t>
  </si>
  <si>
    <t xml:space="preserve">Compte créé avec un nom de 121 caractères : aucune longueur maximale n'est contrôlée.</t>
  </si>
  <si>
    <t xml:space="preserve">BUG-024</t>
  </si>
  <si>
    <t xml:space="preserve">TC-LIM-12_01_apres_nom_121.png</t>
  </si>
  <si>
    <t xml:space="preserve">TC-LIM-13</t>
  </si>
  <si>
    <t xml:space="preserve">Quantité API cumulée via des lignes dupliquées</t>
  </si>
  <si>
    <t xml:space="preserve">Vérifier que le plafond de 20 s'applique par produit et non par ligne.</t>
  </si>
  <si>
    <t xml:space="preserve">{"items":[{"product_id":1,"quantity":20},{"product_id":1,"quantity":20}]}</t>
  </si>
  <si>
    <t xml:space="preserve">1. POST /api/orders avec deux lignes du même produit</t>
  </si>
  <si>
    <t xml:space="preserve">Refus ou fusion des lignes (max 20 au total).</t>
  </si>
  <si>
    <t xml:space="preserve">HTTP 201 : 40 unités acceptées via deux lignes de 20.</t>
  </si>
  <si>
    <t xml:space="preserve">TC-LIM-13.txt</t>
  </si>
  <si>
    <t xml:space="preserve">TC-ERR-01</t>
  </si>
  <si>
    <t xml:space="preserve">Erreur</t>
  </si>
  <si>
    <t xml:space="preserve">Connexion avec un mot de passe incorrect</t>
  </si>
  <si>
    <t xml:space="preserve">Vérifier le message d'erreur générique.</t>
  </si>
  <si>
    <t xml:space="preserve">alice@example.com / MauvaisMdp1!</t>
  </si>
  <si>
    <t xml:space="preserve">1. Ouvrir /login
2. Saisir les identifiants
3. Valider</t>
  </si>
  <si>
    <t xml:space="preserve">Message « Email ou mot de passe incorrect. », pas de connexion.</t>
  </si>
  <si>
    <t xml:space="preserve">Message « Email ou mot de passe incorrect », pas de connexion.</t>
  </si>
  <si>
    <t xml:space="preserve">TC-ERR-01_01_echec_connexion.png</t>
  </si>
  <si>
    <t xml:space="preserve">TC-ERR-02</t>
  </si>
  <si>
    <t xml:space="preserve">Inscription avec un email déjà utilisé</t>
  </si>
  <si>
    <t xml:space="preserve">Vérifier le refus des doublons.</t>
  </si>
  <si>
    <t xml:space="preserve">alice@example.com</t>
  </si>
  <si>
    <t xml:space="preserve">1. Ouvrir /register
2. Saisir l'email d'Alice
3. Valider</t>
  </si>
  <si>
    <t xml:space="preserve">Message « Un compte existe déjà avec cet email. ».</t>
  </si>
  <si>
    <t xml:space="preserve">Refus : « Un compte existe déjà avec cet email ».</t>
  </si>
  <si>
    <t xml:space="preserve">TC-ERR-02_01_email_existant.png</t>
  </si>
  <si>
    <t xml:space="preserve">TC-ERR-03</t>
  </si>
  <si>
    <t xml:space="preserve">API sans clé</t>
  </si>
  <si>
    <t xml:space="preserve">Vérifier le refus sans X-API-Key.</t>
  </si>
  <si>
    <t xml:space="preserve">Aucun header</t>
  </si>
  <si>
    <t xml:space="preserve">1. GET /api/restaurants sans header</t>
  </si>
  <si>
    <t xml:space="preserve">401 avec corps JSON explicite.</t>
  </si>
  <si>
    <t xml:space="preserve">401 Unauthorized.</t>
  </si>
  <si>
    <t xml:space="preserve">TC-ERR-03.txt</t>
  </si>
  <si>
    <t xml:space="preserve">TC-ERR-04</t>
  </si>
  <si>
    <t xml:space="preserve">API avec une clé invalide</t>
  </si>
  <si>
    <t xml:space="preserve">Vérifier le refus d'une mauvaise clé.</t>
  </si>
  <si>
    <t xml:space="preserve">X-API-Key: mauvaise-cle</t>
  </si>
  <si>
    <t xml:space="preserve">1. GET /api/orders avec une clé erronée</t>
  </si>
  <si>
    <t xml:space="preserve">401 JSON.</t>
  </si>
  <si>
    <t xml:space="preserve">TC-ERR-04.txt</t>
  </si>
  <si>
    <t xml:space="preserve">TC-ERR-05</t>
  </si>
  <si>
    <t xml:space="preserve">API : ressource inexistante</t>
  </si>
  <si>
    <t xml:space="preserve">Vérifier le format de l'erreur 404.</t>
  </si>
  <si>
    <t xml:space="preserve">GET /api/restaurants/999</t>
  </si>
  <si>
    <t xml:space="preserve">1. GET /api/restaurants/999</t>
  </si>
  <si>
    <t xml:space="preserve">404 avec corps JSON {"error": …} (API REST).</t>
  </si>
  <si>
    <t xml:space="preserve">HTTP 404 mais Content-Type « text/html; charset=utf-8 » : corps HTML au lieu de JSON (contrat d'erreur non respecté, voir openapi.yaml).</t>
  </si>
  <si>
    <t xml:space="preserve">BUG-011</t>
  </si>
  <si>
    <t xml:space="preserve">TC-ERR-05.txt</t>
  </si>
  <si>
    <t xml:space="preserve">TC-ERR-06</t>
  </si>
  <si>
    <t xml:space="preserve">API : commande sans article</t>
  </si>
  <si>
    <t xml:space="preserve">Vérifier la validation du corps.</t>
  </si>
  <si>
    <t xml:space="preserve">{"items":[]}</t>
  </si>
  <si>
    <t xml:space="preserve">1. POST /api/orders</t>
  </si>
  <si>
    <t xml:space="preserve">400 JSON.</t>
  </si>
  <si>
    <t xml:space="preserve">400 « items is required… ».</t>
  </si>
  <si>
    <t xml:space="preserve">TC-ERR-06.txt</t>
  </si>
  <si>
    <t xml:space="preserve">TC-ERR-07</t>
  </si>
  <si>
    <t xml:space="preserve">API coupon : sous-total non numérique</t>
  </si>
  <si>
    <t xml:space="preserve">Vérifier la validation de subtotal.</t>
  </si>
  <si>
    <t xml:space="preserve">{"code":"WELCOME10","subtotal":"abc"}</t>
  </si>
  <si>
    <t xml:space="preserve">400 « subtotal must be numeric ».</t>
  </si>
  <si>
    <t xml:space="preserve">TC-ERR-07.txt</t>
  </si>
  <si>
    <t xml:space="preserve">TC-ERR-08</t>
  </si>
  <si>
    <t xml:space="preserve">API coupon : sous-total « NaN », « Infinity » ou 1e999</t>
  </si>
  <si>
    <t xml:space="preserve">Vérifier la robustesse face aux valeurs spéciales.</t>
  </si>
  <si>
    <t xml:space="preserve">{"code":"WELCOME10","subtotal":"NaN"} ; idem "Infinity" ; "1e999"</t>
  </si>
  <si>
    <t xml:space="preserve">1. POST /api/coupons/validate avec chaque valeur</t>
  </si>
  <si>
    <t xml:space="preserve">400 JSON explicite.</t>
  </si>
  <si>
    <t xml:space="preserve">Codes obtenus [500, 500, 500] (valeurs non finies : 500 ou acceptées)</t>
  </si>
  <si>
    <t xml:space="preserve">BUG-010</t>
  </si>
  <si>
    <t xml:space="preserve">TC-ERR-08.txt</t>
  </si>
  <si>
    <t xml:space="preserve">TC-ERR-09</t>
  </si>
  <si>
    <t xml:space="preserve">API commande : corps JSON de type tableau</t>
  </si>
  <si>
    <t xml:space="preserve">Vérifier le rejet d'un corps non objet.</t>
  </si>
  <si>
    <t xml:space="preserve">[1]</t>
  </si>
  <si>
    <t xml:space="preserve">1. POST /api/orders avec le corps [1] (Content-Type: application/json)</t>
  </si>
  <si>
    <t xml:space="preserve">HTTP 500 : erreur serveur non gérée.</t>
  </si>
  <si>
    <t xml:space="preserve">TC-ERR-09.txt</t>
  </si>
  <si>
    <t xml:space="preserve">TC-ERR-10</t>
  </si>
  <si>
    <t xml:space="preserve">API commande : élément d'articles qui n'est pas un objet</t>
  </si>
  <si>
    <t xml:space="preserve">Vérifier la validation des éléments.</t>
  </si>
  <si>
    <t xml:space="preserve">{"items":[{"product_id":1,"quantity":1},"x"]} ; puis {"items":[{"product_id":"1","quantity":1}]}</t>
  </si>
  <si>
    <t xml:space="preserve">1. POST /api/orders avec chaque corps</t>
  </si>
  <si>
    <t xml:space="preserve">400 JSON pour chacun.</t>
  </si>
  <si>
    <t xml:space="preserve">Codes 500 / 500</t>
  </si>
  <si>
    <t xml:space="preserve">TC-ERR-10.txt</t>
  </si>
  <si>
    <t xml:space="preserve">TC-ERR-11</t>
  </si>
  <si>
    <t xml:space="preserve">Administration</t>
  </si>
  <si>
    <t xml:space="preserve">Accès admin par un client</t>
  </si>
  <si>
    <t xml:space="preserve">Vérifier le contrôle d'accès à /admin/.</t>
  </si>
  <si>
    <t xml:space="preserve">URL : /admin/</t>
  </si>
  <si>
    <t xml:space="preserve">1. Ouvrir /admin/ en tant qu'Alice</t>
  </si>
  <si>
    <t xml:space="preserve">Refus avec message ; aucune donnée d'administration visible.</t>
  </si>
  <si>
    <t xml:space="preserve">Redirection avec « Accès réservé aux administrateurs ».</t>
  </si>
  <si>
    <t xml:space="preserve">TC-ERR-11_01_admin_client.png</t>
  </si>
  <si>
    <t xml:space="preserve">TC-ERR-12</t>
  </si>
  <si>
    <t xml:space="preserve">Consulter la commande d'un autre client</t>
  </si>
  <si>
    <t xml:space="preserve">Vérifier l'absence de fuite entre comptes.</t>
  </si>
  <si>
    <t xml:space="preserve">Base seedée (python seed.py), application lancée ; Bob connecté</t>
  </si>
  <si>
    <t xml:space="preserve">URL : /orders/1 (commande d'Alice)</t>
  </si>
  <si>
    <t xml:space="preserve">1. Se connecter en tant que Bob
2. Ouvrir /orders/1</t>
  </si>
  <si>
    <t xml:space="preserve">Accès refusé.</t>
  </si>
  <si>
    <t xml:space="preserve">« Commande inaccessible », contenu non affiché.</t>
  </si>
  <si>
    <t xml:space="preserve">TC-ERR-12_01_commande_autrui.png</t>
  </si>
  <si>
    <t xml:space="preserve">TC-ERR-13</t>
  </si>
  <si>
    <t xml:space="preserve">Coupon expiré au checkout</t>
  </si>
  <si>
    <t xml:space="preserve">Vérifier le refus d'un coupon expiré (EXPIRED10).</t>
  </si>
  <si>
    <t xml:space="preserve">Base seedée (python seed.py), application lancée ; Alice connectée ; panier non vide</t>
  </si>
  <si>
    <t xml:space="preserve">EXPIRED10</t>
  </si>
  <si>
    <t xml:space="preserve">1. Ouvrir /checkout
2. Saisir EXPIRED10 puis « Appliquer »</t>
  </si>
  <si>
    <t xml:space="preserve">Message « Coupon invalide ou expiré. » ; remise 0 €.</t>
  </si>
  <si>
    <t xml:space="preserve">Message « Coupon invalide ou expiré », aucune réduction.</t>
  </si>
  <si>
    <t xml:space="preserve">TC-ERR-13_01_coupon_expire.png</t>
  </si>
  <si>
    <t xml:space="preserve">TC-ERR-14</t>
  </si>
  <si>
    <t xml:space="preserve">Coupon expiré lors de la création d'une commande API</t>
  </si>
  <si>
    <t xml:space="preserve">Vérifier que l'API applique la même règle que le web.</t>
  </si>
  <si>
    <t xml:space="preserve">{"items":[{"product_id":1,"quantity":1}],"coupon":"EXPIRED10","payment_method":"card"}</t>
  </si>
  <si>
    <t xml:space="preserve">1. POST /api/coupons/validate avec EXPIRED10 (contrôle)
2. POST /api/orders avec le coupon</t>
  </si>
  <si>
    <t xml:space="preserve">Coupon refusé : commande refusée ou créée sans remise, avec un message.</t>
  </si>
  <si>
    <t xml:space="preserve">HTTP 201 : commande créée, coupon ignoré silencieusement (aucune erreur).</t>
  </si>
  <si>
    <t xml:space="preserve">BUG-009</t>
  </si>
  <si>
    <t xml:space="preserve">TC-ERR-14.txt</t>
  </si>
  <si>
    <t xml:space="preserve">TC-ERR-15</t>
  </si>
  <si>
    <t xml:space="preserve">Adresse d'un autre utilisateur au checkout</t>
  </si>
  <si>
    <t xml:space="preserve">Vérifier l'absence de contournement d'adresse (IDOR).</t>
  </si>
  <si>
    <t xml:space="preserve">address_id = 2 (adresse de Bob)</t>
  </si>
  <si>
    <t xml:space="preserve">1. Modifier la valeur du &lt;select&gt; d'adresse via DevTools (value=2)
2. Confirmer la commande</t>
  </si>
  <si>
    <t xml:space="preserve">Refus.</t>
  </si>
  <si>
    <t xml:space="preserve">« Adresse de livraison invalide », pas de commande.</t>
  </si>
  <si>
    <t xml:space="preserve">TC-ERR-15_01_adresse_autrui.png</t>
  </si>
  <si>
    <t xml:space="preserve">TC-ERR-16</t>
  </si>
  <si>
    <t xml:space="preserve">Redirection après connexion vers un site externe (paramètre next)</t>
  </si>
  <si>
    <t xml:space="preserve">Vérifier que next n'accepte que des chemins internes.</t>
  </si>
  <si>
    <t xml:space="preserve">/login?next=https://example.org ; alice@example.com / Password123!</t>
  </si>
  <si>
    <t xml:space="preserve">1. Ouvrir /login?next=https://example.org
2. Se connecter</t>
  </si>
  <si>
    <t xml:space="preserve">Redirection vers une page interne (accueil).</t>
  </si>
  <si>
    <t xml:space="preserve">Après connexion, le navigateur est envoyé vers https://example.org/ (redirection ouverte via ?next=).</t>
  </si>
  <si>
    <t xml:space="preserve">BUG-015</t>
  </si>
  <si>
    <t xml:space="preserve">TC-ERR-16_01_apres_connexion.png
TC-ERR-16.txt</t>
  </si>
  <si>
    <t xml:space="preserve">TC-ERR-17</t>
  </si>
  <si>
    <t xml:space="preserve">Checkout avec un panier vide</t>
  </si>
  <si>
    <t xml:space="preserve">Vérifier le garde-fou panier vide.</t>
  </si>
  <si>
    <t xml:space="preserve">Base seedée (python seed.py), application lancée ; Alice connectée ; panier vide</t>
  </si>
  <si>
    <t xml:space="preserve">URL /checkout</t>
  </si>
  <si>
    <t xml:space="preserve">1. Ouvrir /checkout</t>
  </si>
  <si>
    <t xml:space="preserve">Message et retour au panier.</t>
  </si>
  <si>
    <t xml:space="preserve">Redirection vers le panier, message « panier vide ».</t>
  </si>
  <si>
    <t xml:space="preserve">TC-ERR-17_01_panier_vide.png</t>
  </si>
  <si>
    <t xml:space="preserve">TC-ERR-18</t>
  </si>
  <si>
    <t xml:space="preserve">Quantité invalide dans le panier</t>
  </si>
  <si>
    <t xml:space="preserve">Vérifier la gestion d'une saisie non numérique.</t>
  </si>
  <si>
    <t xml:space="preserve">Base seedée (python seed.py), application lancée ; panier non vide</t>
  </si>
  <si>
    <t xml:space="preserve">Quantité « abc » (type du champ changé en text via DevTools)</t>
  </si>
  <si>
    <t xml:space="preserve">1. Modifier le type du champ en text
2. Saisir abc
3. Mettre à jour</t>
  </si>
  <si>
    <t xml:space="preserve">Message « Quantité invalide. », panier inchangé.</t>
  </si>
  <si>
    <t xml:space="preserve">Message « Quantité invalide », pas d'erreur 500.</t>
  </si>
  <si>
    <t xml:space="preserve">TC-ERR-18_01_quantite_abc.png</t>
  </si>
  <si>
    <t xml:space="preserve">TC-ERR-19</t>
  </si>
  <si>
    <t xml:space="preserve">API : annuler une commande livrée</t>
  </si>
  <si>
    <t xml:space="preserve">Vérifier le refus d'annulation selon le statut.</t>
  </si>
  <si>
    <t xml:space="preserve">Commande #1 (delivered)</t>
  </si>
  <si>
    <t xml:space="preserve">1. POST /api/orders/1/cancel</t>
  </si>
  <si>
    <t xml:space="preserve">409 JSON.</t>
  </si>
  <si>
    <t xml:space="preserve">409 « order cannot be cancelled ».</t>
  </si>
  <si>
    <t xml:space="preserve">TC-ERR-19.txt</t>
  </si>
  <si>
    <t xml:space="preserve">TC-ERR-20</t>
  </si>
  <si>
    <t xml:space="preserve">API : coupon inconnu lors de la création d'une commande</t>
  </si>
  <si>
    <t xml:space="preserve">Vérifier le traitement d'un code inexistant.</t>
  </si>
  <si>
    <t xml:space="preserve">{"items":[{"product_id":1,"quantity":1}],"coupon":"FOO","payment_method":"card"}</t>
  </si>
  <si>
    <t xml:space="preserve">400 « coupon invalide » (ou signalement explicite).</t>
  </si>
  <si>
    <t xml:space="preserve">HTTP 201 : commande créée sans réduction ni message.</t>
  </si>
  <si>
    <t xml:space="preserve">TC-ERR-20.txt</t>
  </si>
  <si>
    <t xml:space="preserve">TC-ERR-21</t>
  </si>
  <si>
    <t xml:space="preserve">API : produit indisponible (available = false)</t>
  </si>
  <si>
    <t xml:space="preserve">Vérifier le 409 documenté.</t>
  </si>
  <si>
    <t xml:space="preserve">Produit avec available = false</t>
  </si>
  <si>
    <t xml:space="preserve">1. Rendre un produit indisponible
2. POST /api/orders sur ce produit</t>
  </si>
  <si>
    <t xml:space="preserve">409 « product … is unavailable ».</t>
  </si>
  <si>
    <t xml:space="preserve">Les 25 produits du jeu de données sont disponibles et aucune interface ne permet d'en rendre un indisponible : cas non exécutable sans modifier la base.</t>
  </si>
  <si>
    <t xml:space="preserve">TC-ERR-21.txt</t>
  </si>
  <si>
    <t xml:space="preserve">TC-ERR-22</t>
  </si>
  <si>
    <t xml:space="preserve">API coupon : sous-total fantaisiste accepté</t>
  </si>
  <si>
    <t xml:space="preserve">Vérifier que la validation du coupon ne dépend pas d'un montant arbitraire fourni par le client.</t>
  </si>
  <si>
    <t xml:space="preserve">{"code":"WELCOME10","subtotal":100000}</t>
  </si>
  <si>
    <t xml:space="preserve">1. POST /api/coupons/validate avec un sous-total sans rapport avec un panier réel</t>
  </si>
  <si>
    <t xml:space="preserve">Validation calculée à partir d'un panier serveur, ou endpoint documenté comme simple simulation.</t>
  </si>
  <si>
    <t xml:space="preserve">HTTP 200 {'code': 'WELCOME10', 'discount': 8.0, 'discount_percent': 10.0, 'valid': True} : le serveur fait confiance au sous-total envoyé par le client.</t>
  </si>
  <si>
    <t xml:space="preserve">BUG-012</t>
  </si>
  <si>
    <t xml:space="preserve">TC-ERR-22.txt</t>
  </si>
  <si>
    <t xml:space="preserve">TC-ERR-23</t>
  </si>
  <si>
    <t xml:space="preserve">Sécurité</t>
  </si>
  <si>
    <t xml:space="preserve">Protection CSRF et déconnexion en GET</t>
  </si>
  <si>
    <t xml:space="preserve">Vérifier les protections de base des formulaires et de la déconnexion.</t>
  </si>
  <si>
    <t xml:space="preserve">Formulaires POST ; URL /logout</t>
  </si>
  <si>
    <t xml:space="preserve">1. Inspecter dans DevTools les formulaires de checkout, d'annulation et de profil (champ caché de jeton)
2. Ouvrir directement http://127.0.0.1:5000/logout dans l'onglet</t>
  </si>
  <si>
    <t xml:space="preserve">Un jeton CSRF est présent dans chaque formulaire POST ; la déconnexion exige un POST.</t>
  </si>
  <si>
    <t xml:space="preserve">Aucun jeton CSRF dans les formulaires POST ; GET /logout déconnecte (déconnexion forcée par simple lien/image).</t>
  </si>
  <si>
    <t xml:space="preserve">BUG-023</t>
  </si>
  <si>
    <t xml:space="preserve">TC-ERR-23_01_apres_get_logout.png
TC-ERR-23.txt</t>
  </si>
  <si>
    <t xml:space="preserve">TC-RM-01</t>
  </si>
  <si>
    <t xml:space="preserve">Règle métier</t>
  </si>
  <si>
    <t xml:space="preserve">Panier mono-restaurant</t>
  </si>
  <si>
    <t xml:space="preserve">Vérifier le refus d'un produit d'un autre restaurant.</t>
  </si>
  <si>
    <t xml:space="preserve">Base seedée (python seed.py), application lancée ; panier contenant un Classic Burger</t>
  </si>
  <si>
    <t xml:space="preserve">Chicken Teriyaki (id 6, Tokyo Bowl)</t>
  </si>
  <si>
    <t xml:space="preserve">1. Ouvrir le menu de Tokyo Bowl
2. Ajouter Chicken Teriyaki</t>
  </si>
  <si>
    <t xml:space="preserve">Message « Un panier ne peut contenir que des produits du même restaurant. », produit non ajouté.</t>
  </si>
  <si>
    <t xml:space="preserve">Message « même restaurant », seul le produit de Tokyo Bowl reste au panier.</t>
  </si>
  <si>
    <t xml:space="preserve">TC-RM-01_01_message_mono_restaurant.png</t>
  </si>
  <si>
    <t xml:space="preserve">TC-RM-02</t>
  </si>
  <si>
    <t xml:space="preserve">Restaurant fermé non commandable (web)</t>
  </si>
  <si>
    <t xml:space="preserve">Vérifier qu'on ne peut pas commander chez un restaurant fermé.</t>
  </si>
  <si>
    <t xml:space="preserve">Night Sushi (fermé) ; Late Sushi Box (id 24, 14,00 €)</t>
  </si>
  <si>
    <t xml:space="preserve">1. Ouvrir le menu de Night Sushi
2. Ajouter Late Sushi Box
3. Passer commande par carte</t>
  </si>
  <si>
    <t xml:space="preserve">Ajout ou commande refusé avec message « restaurant fermé ».</t>
  </si>
  <si>
    <t xml:space="preserve">Commande 2 confirmée chez Night Sushi (FERMÉ) pour 14,00 €.</t>
  </si>
  <si>
    <t xml:space="preserve">BUG-002</t>
  </si>
  <si>
    <t xml:space="preserve">TC-RM-02_01_menu_restaurant_ferme.png
TC-RM-02_02_resultat_checkout.png
TC-RM-02.txt</t>
  </si>
  <si>
    <t xml:space="preserve">TC-RM-03</t>
  </si>
  <si>
    <t xml:space="preserve">Restaurant fermé non commandable (API)</t>
  </si>
  <si>
    <t xml:space="preserve">Vérifier la règle côté API.</t>
  </si>
  <si>
    <t xml:space="preserve">{"items":[{"product_id":24,"quantity":1}],"payment_method":"card"}</t>
  </si>
  <si>
    <t xml:space="preserve">Refus (409 ou 400) avec message.</t>
  </si>
  <si>
    <t xml:space="preserve">HTTP 201 : commande créée chez un restaurant fermé.</t>
  </si>
  <si>
    <t xml:space="preserve">TC-RM-03.txt</t>
  </si>
  <si>
    <t xml:space="preserve">TC-RM-04</t>
  </si>
  <si>
    <t xml:space="preserve">Commande minimum (web)</t>
  </si>
  <si>
    <t xml:space="preserve">Vérifier le minimum de commande de Burger Factory (20,00 €).</t>
  </si>
  <si>
    <t xml:space="preserve">1 × Frites maison (3,50 €)</t>
  </si>
  <si>
    <t xml:space="preserve">1. Ajouter Frites maison au panier
2. Passer commande par carte</t>
  </si>
  <si>
    <t xml:space="preserve">Refus : « minimum de commande de 20,00 € non atteint ».</t>
  </si>
  <si>
    <t xml:space="preserve">Commande confirmée pour 3.50 € de produits (minimum du restaurant : 20 €).</t>
  </si>
  <si>
    <t xml:space="preserve">BUG-005</t>
  </si>
  <si>
    <t xml:space="preserve">TC-RM-04_01_resultat.png</t>
  </si>
  <si>
    <t xml:space="preserve">TC-RM-05</t>
  </si>
  <si>
    <t xml:space="preserve">Commande minimum (API)</t>
  </si>
  <si>
    <t xml:space="preserve">{"items":[{"product_id":3,"quantity":1}],"payment_method":"card"}</t>
  </si>
  <si>
    <t xml:space="preserve">400 ou 409 (minimum 20,00 € non atteint).</t>
  </si>
  <si>
    <t xml:space="preserve">HTTP 201 : commande créée sous le minimum.</t>
  </si>
  <si>
    <t xml:space="preserve">TC-RM-05.txt</t>
  </si>
  <si>
    <t xml:space="preserve">TC-RM-06</t>
  </si>
  <si>
    <t xml:space="preserve">Paiement</t>
  </si>
  <si>
    <t xml:space="preserve">Paiement en espèces avec montant insuffisant (web)</t>
  </si>
  <si>
    <t xml:space="preserve">Vérifier le refus d'un montant remis inférieur au total.</t>
  </si>
  <si>
    <t xml:space="preserve">Base seedée (python seed.py), application lancée ; Alice connectée ; panier : 1 × Classic Burger (total 14,89 €)</t>
  </si>
  <si>
    <t xml:space="preserve">Espèces ; montant remis 1,00 €</t>
  </si>
  <si>
    <t xml:space="preserve">1. Ouvrir /checkout
2. Choisir Espèces et saisir 1,00
3. Confirmer</t>
  </si>
  <si>
    <t xml:space="preserve">Refus avec message ; aucune commande.</t>
  </si>
  <si>
    <t xml:space="preserve">Commande acceptée avec 1,00 € remis pour 14,89 € (monnaie négative affichée) ; un montant vide est accepté aussi : True.</t>
  </si>
  <si>
    <t xml:space="preserve">BUG-003</t>
  </si>
  <si>
    <t xml:space="preserve">TC-RM-06_01_cash_1_euro.png
TC-RM-06_02_resultat.png
TC-RM-06_03_cash_vide.png
TC-RM-06.txt</t>
  </si>
  <si>
    <t xml:space="preserve">TC-RM-07</t>
  </si>
  <si>
    <t xml:space="preserve">Paiement en espèces avec montant insuffisant (API)</t>
  </si>
  <si>
    <t xml:space="preserve">{"items":[{"product_id":1,"quantity":1}],"payment_method":"cash","cash_received":1}</t>
  </si>
  <si>
    <t xml:space="preserve">400 JSON (montant insuffisant).</t>
  </si>
  <si>
    <t xml:space="preserve">HTTP 201 : '{\n  "cash_received": 1.0,\n  "change_due": -13.89,\n  "created_at": "2026-10-12T19:20:37.387675",\n  "delivery_fee": 2.99,\n'</t>
  </si>
  <si>
    <t xml:space="preserve">TC-RM-07.txt</t>
  </si>
  <si>
    <t xml:space="preserve">TC-RM-08</t>
  </si>
  <si>
    <t xml:space="preserve">Paiement en espèces avec calcul de monnaie correct</t>
  </si>
  <si>
    <t xml:space="preserve">Vérifier le calcul de la monnaie à rendre.</t>
  </si>
  <si>
    <t xml:space="preserve">Base seedée (python seed.py), application lancée ; Alice connectée ; panier : 1 × Classic Burger (14,89 €)</t>
  </si>
  <si>
    <t xml:space="preserve">Espèces ; montant remis 20,00 €</t>
  </si>
  <si>
    <t xml:space="preserve">1. Choisir Espèces, saisir 20,00
2. Confirmer</t>
  </si>
  <si>
    <t xml:space="preserve">Monnaie calculée 5,11 €.</t>
  </si>
  <si>
    <t xml:space="preserve">Monnaie à rendre 5,11 €.</t>
  </si>
  <si>
    <t xml:space="preserve">TC-RM-08_01_commande_cash.png
TC-RM-08.txt</t>
  </si>
  <si>
    <t xml:space="preserve">TC-RM-09</t>
  </si>
  <si>
    <t xml:space="preserve">Paiement PayPal : une seule commande (web)</t>
  </si>
  <si>
    <t xml:space="preserve">Vérifier qu'un paiement crée une unique commande.</t>
  </si>
  <si>
    <t xml:space="preserve">Base seedée (python seed.py), application lancée ; Alice connectée ; panier : 1 × Classic Burger ; 1 commande existante (#1)</t>
  </si>
  <si>
    <t xml:space="preserve">PayPal</t>
  </si>
  <si>
    <t xml:space="preserve">1. Ouvrir /checkout
2. Choisir PayPal
3. Confirmer
4. Ouvrir /orders</t>
  </si>
  <si>
    <t xml:space="preserve">Une seule nouvelle commande ; stock décrémenté de 1.</t>
  </si>
  <si>
    <t xml:space="preserve">2 commandes créées pour un seul paiement PayPal ([2, 3]).</t>
  </si>
  <si>
    <t xml:space="preserve">BUG-001</t>
  </si>
  <si>
    <t xml:space="preserve">TC-RM-09_01_commande_paypal.png
TC-RM-09_02_liste_commandes.png
TC-RM-09_paypal_double_commande.webm
TC-RM-09.txt</t>
  </si>
  <si>
    <t xml:space="preserve">TC-RM-10</t>
  </si>
  <si>
    <t xml:space="preserve">Paiement PayPal : une seule commande (API)</t>
  </si>
  <si>
    <t xml:space="preserve">{"items":[{"product_id":1,"quantity":1}],"payment_method":"paypal"}</t>
  </si>
  <si>
    <t xml:space="preserve">1. GET /api/orders (compter)
2. POST /api/orders (paypal)
3. GET /api/orders (compter)</t>
  </si>
  <si>
    <t xml:space="preserve">Le nombre de commandes augmente de 1.</t>
  </si>
  <si>
    <t xml:space="preserve">2 commandes créées par une seule requête PayPal ; stock du Classic Burger 100 → 98 (−2 pour 1 unité commandée).</t>
  </si>
  <si>
    <t xml:space="preserve">TC-RM-10.txt</t>
  </si>
  <si>
    <t xml:space="preserve">TC-RM-11</t>
  </si>
  <si>
    <t xml:space="preserve">ATLAS15 : 15 % annoncé</t>
  </si>
  <si>
    <t xml:space="preserve">Vérifier que la remise correspond à l'offre affichée.</t>
  </si>
  <si>
    <t xml:space="preserve">Base seedée (python seed.py), application lancée ; Alice connectée ; panier : 2 × Couscous Royal (35,80 €)</t>
  </si>
  <si>
    <t xml:space="preserve">Coupon ATLAS15</t>
  </si>
  <si>
    <t xml:space="preserve">1. Lire l'offre « 15 % de réduction » sur la fiche du restaurant
2. Appliquer ATLAS15 au checkout</t>
  </si>
  <si>
    <t xml:space="preserve">Remise de 5,37 € (15 %) ; total 33,42 €.</t>
  </si>
  <si>
    <t xml:space="preserve">Offre annoncée « -15 % » mais réduction de 3.58 € sur 35.80 € (= 10 %), au lieu de 5.37 €.</t>
  </si>
  <si>
    <t xml:space="preserve">BUG-007</t>
  </si>
  <si>
    <t xml:space="preserve">TC-RM-11_01_offre_annoncee.png
TC-RM-11_02_recap.png
TC-RM-11.txt</t>
  </si>
  <si>
    <t xml:space="preserve">TC-RM-12</t>
  </si>
  <si>
    <t xml:space="preserve">TOKYO30 : livraison offerte chez Tokyo Bowl</t>
  </si>
  <si>
    <t xml:space="preserve">Vérifier le coupon de livraison gratuite dès 30 €.</t>
  </si>
  <si>
    <t xml:space="preserve">Base seedée (python seed.py), application lancée ; Alice connectée ; panier : 3 × Chicken Teriyaki (40,50 €)</t>
  </si>
  <si>
    <t xml:space="preserve">Coupon TOKYO30</t>
  </si>
  <si>
    <t xml:space="preserve">1. Appliquer TOKYO30 au checkout</t>
  </si>
  <si>
    <t xml:space="preserve">Remise 3,49 € (= frais), total 40,50 €.</t>
  </si>
  <si>
    <t xml:space="preserve">Livraison offerte : réduction 3,49 €, total = sous-total.</t>
  </si>
  <si>
    <t xml:space="preserve">TC-RM-12_01_recap_tokyo30.png
TC-RM-12.txt</t>
  </si>
  <si>
    <t xml:space="preserve">TC-RM-13</t>
  </si>
  <si>
    <t xml:space="preserve">TOKYO30 appliqué hors Tokyo Bowl</t>
  </si>
  <si>
    <t xml:space="preserve">Vérifier que la livraison offerte n'est pas valable partout et ne dépasse pas les frais.</t>
  </si>
  <si>
    <t xml:space="preserve">Base seedée (python seed.py), application lancée ; Alice connectée ; panier : 3 × Classic Burger (35,70 €, livraison 2,99 €)</t>
  </si>
  <si>
    <t xml:space="preserve">Coupon refusé (réservé à Tokyo Bowl) ou remise limitée aux frais de 2,99 € (total 35,70 €).</t>
  </si>
  <si>
    <t xml:space="preserve">Réduction de 3.49 € appliquée chez Burger Factory (code réservé à Tokyo Bowl : « Livraison gratuite dès 30 € avec TOKYO30 »).</t>
  </si>
  <si>
    <t xml:space="preserve">BUG-008</t>
  </si>
  <si>
    <t xml:space="preserve">TC-RM-13_01_tokyo30_chez_burger.png
TC-RM-13.txt</t>
  </si>
  <si>
    <t xml:space="preserve">TC-RM-14</t>
  </si>
  <si>
    <t xml:space="preserve">Coupon sous le minimum d'achat</t>
  </si>
  <si>
    <t xml:space="preserve">Vérifier le message quand le minimum n'est pas atteint.</t>
  </si>
  <si>
    <t xml:space="preserve">Base seedée (python seed.py), application lancée ; panier : 1 × Classic Burger (11,90 €)</t>
  </si>
  <si>
    <t xml:space="preserve">WELCOME10 (minimum 20 €)</t>
  </si>
  <si>
    <t xml:space="preserve">1. Appliquer WELCOME10 au checkout</t>
  </si>
  <si>
    <t xml:space="preserve">Message « Montant minimum de 20.00 € requis. », remise 0.</t>
  </si>
  <si>
    <t xml:space="preserve">Message « Montant minimum de 20.00 € requis », pas de réduction.</t>
  </si>
  <si>
    <t xml:space="preserve">TC-RM-14_01_minimum_coupon.png</t>
  </si>
  <si>
    <t xml:space="preserve">TC-RM-15</t>
  </si>
  <si>
    <t xml:space="preserve">Annulation impossible d'une commande livrée</t>
  </si>
  <si>
    <t xml:space="preserve">Vérifier la règle de statut pour l'annulation.</t>
  </si>
  <si>
    <t xml:space="preserve">1. Ouvrir /orders/1
2. Cliquer sur « Annuler la commande »</t>
  </si>
  <si>
    <t xml:space="preserve">Message « Cette commande ne peut plus être annulée. ».</t>
  </si>
  <si>
    <t xml:space="preserve">Annulation refusée, statut inchangé.</t>
  </si>
  <si>
    <t xml:space="preserve">TC-RM-15_01_commande_livree.png
TC-RM-15_02_apres_post_annulation.png
TC-RM-15.txt</t>
  </si>
  <si>
    <t xml:space="preserve">TC-RM-16</t>
  </si>
  <si>
    <t xml:space="preserve">Annulation : restitution du stock et du paiement</t>
  </si>
  <si>
    <t xml:space="preserve">Vérifier qu'une annulation remet le stock et met le paiement en cohérence.</t>
  </si>
  <si>
    <t xml:space="preserve">2 × Classic Burger (stock 100 → 98) puis annulation</t>
  </si>
  <si>
    <t xml:space="preserve">1. Commander 2 Classic Burger
2. Annuler la commande
3. Consulter le stock sur le menu et le paiement dans le détail</t>
  </si>
  <si>
    <t xml:space="preserve">Stock revenu à 100 ; paiement « refunded » (ou équivalent).</t>
  </si>
  <si>
    <t xml:space="preserve">Stock 100 → 98 → 98 après annulation ; la commande annulée reste « paid » (aucun remboursement ni restitution).</t>
  </si>
  <si>
    <t xml:space="preserve">BUG-016</t>
  </si>
  <si>
    <t xml:space="preserve">TC-RM-16_01_apres_annulation.png
TC-RM-16.txt</t>
  </si>
  <si>
    <t xml:space="preserve">TC-RM-17</t>
  </si>
  <si>
    <t xml:space="preserve">Transitions de statut cohérentes (admin)</t>
  </si>
  <si>
    <t xml:space="preserve">Vérifier qu'une commande livrée ne revient pas à un état antérieur.</t>
  </si>
  <si>
    <t xml:space="preserve">Base seedée (python seed.py), application lancée ; admin connecté</t>
  </si>
  <si>
    <t xml:space="preserve">Commande #1 (delivered) → confirmed, puis → cancelled</t>
  </si>
  <si>
    <t xml:space="preserve">1. Ouvrir /admin/
2. Changer le statut de #1 en confirmed
3. Changer en cancelled</t>
  </si>
  <si>
    <t xml:space="preserve">Transitions arrière refusées.</t>
  </si>
  <si>
    <t xml:space="preserve">Transitions arrière acceptées : [('confirmed', ['Statut mis à jour.']), 'confirmed', ('cancelled', ['Statut mis à jour.']), 'cancelled']</t>
  </si>
  <si>
    <t xml:space="preserve">BUG-017</t>
  </si>
  <si>
    <t xml:space="preserve">TC-RM-17_01_admin.png
TC-RM-17_02_apres_transitions.png
TC-RM-17.txt</t>
  </si>
  <si>
    <t xml:space="preserve">TC-RM-18</t>
  </si>
  <si>
    <t xml:space="preserve">Avis</t>
  </si>
  <si>
    <t xml:space="preserve">Avis réservé aux clients ayant commandé</t>
  </si>
  <si>
    <t xml:space="preserve">Vérifier la règle de légitimité d'un avis.</t>
  </si>
  <si>
    <t xml:space="preserve">Base seedée (python seed.py), application lancée ; Bob connecté (aucune commande)</t>
  </si>
  <si>
    <t xml:space="preserve">Pizza Roma ; note 1 ; commentaire « Nul »</t>
  </si>
  <si>
    <t xml:space="preserve">1. Ouvrir la fiche Pizza Roma
2. Publier un avis</t>
  </si>
  <si>
    <t xml:space="preserve">Avis refusé (aucune commande chez ce restaurant).</t>
  </si>
  <si>
    <t xml:space="preserve">Avis publié sans commande préalable (flashs ['Merci pour votre avis !', 'HORS STOCK — Ce produit est actuellement indisponible.']).</t>
  </si>
  <si>
    <t xml:space="preserve">BUG-018</t>
  </si>
  <si>
    <t xml:space="preserve">TC-RM-18_01_avis_publie.png</t>
  </si>
  <si>
    <t xml:space="preserve">TC-RM-19</t>
  </si>
  <si>
    <t xml:space="preserve">Consultation des avis et note moyenne</t>
  </si>
  <si>
    <t xml:space="preserve">Vérifier qu'un avis publié est visible et influence la note.</t>
  </si>
  <si>
    <t xml:space="preserve">Base seedée (python seed.py), application lancée ; avis publié en TC-RM-18</t>
  </si>
  <si>
    <t xml:space="preserve">Pizza Roma</t>
  </si>
  <si>
    <t xml:space="preserve">1. Recharger la fiche Pizza Roma et l'accueil</t>
  </si>
  <si>
    <t xml:space="preserve">Avis visible ; note du restaurant tenant compte de l'avis.</t>
  </si>
  <si>
    <t xml:space="preserve">Les avis publiés n'influencent pas la note affichée (4.3 inchangée après deux avis à 1/5) : la note est une valeur fixe, pas une moyenne.</t>
  </si>
  <si>
    <t xml:space="preserve">TC-RM-19_01_restaurant_apres_avis.png
TC-RM-19.txt</t>
  </si>
  <si>
    <t xml:space="preserve">TC-RM-20</t>
  </si>
  <si>
    <t xml:space="preserve">Contournement du panier mono-restaurant</t>
  </si>
  <si>
    <t xml:space="preserve">Vérifier que la règle est aussi appliquée à la mise à jour du panier.</t>
  </si>
  <si>
    <t xml:space="preserve">Base seedée (python seed.py), application lancée ; panier : 1 × Classic Burger (Burger Factory)</t>
  </si>
  <si>
    <t xml:space="preserve">Champ qty_1 renommé qty_6 (Chicken Teriyaki, Tokyo Bowl) via DevTools</t>
  </si>
  <si>
    <t xml:space="preserve">1. Ouvrir /cart
2. DevTools : changer name="qty_1" en name="qty_6" et la valeur à 1
3. Cliquer sur « Mettre à jour »
4. Passer commande</t>
  </si>
  <si>
    <t xml:space="preserve">Refus : produit d'un autre restaurant.</t>
  </si>
  <si>
    <t xml:space="preserve">Panier avec deux restaurants (Burger Factory + Tokyo Bowl) : 25.40 € ; la commande #2 est confirmée avec les deux (voir capture).</t>
  </si>
  <si>
    <t xml:space="preserve">BUG-019</t>
  </si>
  <si>
    <t xml:space="preserve">TC-RM-20_01_panier_deux_restaurants.png
TC-RM-20_02_commande_mixte.png
TC-RM-20.txt</t>
  </si>
  <si>
    <t xml:space="preserve">TC-RM-21</t>
  </si>
  <si>
    <t xml:space="preserve">Décrément du stock après commande</t>
  </si>
  <si>
    <t xml:space="preserve">Vérifier que le stock baisse de la quantité commandée.</t>
  </si>
  <si>
    <t xml:space="preserve">Base seedée (python seed.py), application lancée ; Classic Burger stock 100</t>
  </si>
  <si>
    <t xml:space="preserve">2 × Classic Burger</t>
  </si>
  <si>
    <t xml:space="preserve">1. Commander 2 Classic Burger
2. Ouvrir le menu de Burger Factory</t>
  </si>
  <si>
    <t xml:space="preserve">Stock du Classic Burger : 98.</t>
  </si>
  <si>
    <t xml:space="preserve">Stock 100 → 98.</t>
  </si>
  <si>
    <t xml:space="preserve">TC-RM-22</t>
  </si>
  <si>
    <t xml:space="preserve">Adresse de livraison renseignée obligatoire</t>
  </si>
  <si>
    <t xml:space="preserve">Vérifier qu'une commande ne part pas sans adresse complète.</t>
  </si>
  <si>
    <t xml:space="preserve">Base seedée (python seed.py), application lancée ; compte tout juste créé via /register ; panier non vide</t>
  </si>
  <si>
    <t xml:space="preserve">Adresse par défaut créée à l'inscription</t>
  </si>
  <si>
    <t xml:space="preserve">1. Créer un compte
2. Ajouter un produit
3. Ouvrir /checkout et confirmer</t>
  </si>
  <si>
    <t xml:space="preserve">Adresse complète exigée avant de confirmer.</t>
  </si>
  <si>
    <t xml:space="preserve">Commande confirmée avec une adresse de livraison vide (option « Domicile — , »).</t>
  </si>
  <si>
    <t xml:space="preserve">BUG-014</t>
  </si>
  <si>
    <t xml:space="preserve">TC-RM-22_01_checkout_adresse_vide.png
TC-RM-22_02_commande.png
TC-RM-22.txt</t>
  </si>
  <si>
    <t xml:space="preserve">TC-RM-23</t>
  </si>
  <si>
    <t xml:space="preserve">Coupon : conservation du formulaire à l'application</t>
  </si>
  <si>
    <t xml:space="preserve">Vérifier que « Appliquer » ne réinitialise pas les choix.</t>
  </si>
  <si>
    <t xml:space="preserve">Base seedée (python seed.py), application lancée ; Alice avec 2 adresses ; panier non vide</t>
  </si>
  <si>
    <t xml:space="preserve">Adresse « Travail » ; note « Code 5678 » ; paiement Espèces ; coupon LUNCH5</t>
  </si>
  <si>
    <t xml:space="preserve">1. Choisir l'adresse Travail, saisir la note, choisir Espèces
2. Saisir LUNCH5 et cliquer sur « Appliquer »</t>
  </si>
  <si>
    <t xml:space="preserve">Adresse, note et mode de paiement conservés.</t>
  </si>
  <si>
    <t xml:space="preserve">Après « Appliquer le coupon » : adresse « Domicile — 10 rue de Paris, 75 », note «  », paiement « card » (saisies perdues).</t>
  </si>
  <si>
    <t xml:space="preserve">BUG-020</t>
  </si>
  <si>
    <t xml:space="preserve">TC-RM-23_01_avant_application.png
TC-RM-23_02_apres_application.png
TC-RM-23.txt</t>
  </si>
  <si>
    <t xml:space="preserve">TC-RM-24</t>
  </si>
  <si>
    <t xml:space="preserve">Heure de commande affichée à l'heure locale</t>
  </si>
  <si>
    <t xml:space="preserve">Vérifier la cohérence de l'horodatage affiché.</t>
  </si>
  <si>
    <t xml:space="preserve">Base seedée (python seed.py), application lancée ; poste en Europe/Paris (UTC+2)</t>
  </si>
  <si>
    <t xml:space="preserve">Commande passée à 19:00 heure locale</t>
  </si>
  <si>
    <t xml:space="preserve">1. Passer une commande à 19h00 (heure de Paris)
2. Lire l'heure sur /orders</t>
  </si>
  <si>
    <t xml:space="preserve">19/…/… 19:00.</t>
  </si>
  <si>
    <t xml:space="preserve">Heure affichée ['19:21'] alors qu'il est 21:21 à Paris : l'horaire est en UTC sans indication.</t>
  </si>
  <si>
    <t xml:space="preserve">BUG-021</t>
  </si>
  <si>
    <t xml:space="preserve">TC-RM-24_01_commande_heure.png
TC-RM-24.txt</t>
  </si>
  <si>
    <t xml:space="preserve">TC-RM-25</t>
  </si>
  <si>
    <t xml:space="preserve">WELCOME10 réservé à la première commande</t>
  </si>
  <si>
    <t xml:space="preserve">Vérifier la règle d'usage unique suggérée par le nom du coupon.</t>
  </si>
  <si>
    <t xml:space="preserve">WELCOME10 utilisé deux fois par Alice</t>
  </si>
  <si>
    <t xml:space="preserve">1. Utiliser WELCOME10 sur deux commandes successives</t>
  </si>
  <si>
    <t xml:space="preserve">À définir avec le Product Owner (règle non spécifiée).</t>
  </si>
  <si>
    <t xml:space="preserve">Le code « WELCOME10 » est accepté à chaque commande (réductions ['2.38', '2.38']). Aucune spécification ne dit s'il est limité à la première commande : règle à clarifier avec le métier avant de conclure.</t>
  </si>
  <si>
    <t xml:space="preserve">Skipped</t>
  </si>
  <si>
    <t xml:space="preserve">TC-RM-25.txt</t>
  </si>
  <si>
    <t xml:space="preserve">TC-ENV-01</t>
  </si>
  <si>
    <t xml:space="preserve">Complémentaire</t>
  </si>
  <si>
    <t xml:space="preserve">Env</t>
  </si>
  <si>
    <t xml:space="preserve">Démarrage via Docker Compose (Linux/macOS)</t>
  </si>
  <si>
    <t xml:space="preserve">Vérifier que `docker compose up --build` démarre l'application.</t>
  </si>
  <si>
    <t xml:space="preserve">Docker installé sur Linux ou macOS ; dépôt cloné</t>
  </si>
  <si>
    <t xml:space="preserve">docker-compose.yml, docker-entrypoint.sh</t>
  </si>
  <si>
    <t xml:space="preserve">1. Exécuter docker compose up --build
2. Ouvrir http://127.0.0.1:5000</t>
  </si>
  <si>
    <t xml:space="preserve">Conteneur démarré, base seedée, application disponible.</t>
  </si>
  <si>
    <t xml:space="preserve">« bash: ./docker-entrypoint.sh: Permission denied ([Errno 13] Permission denied: './docker-entrypoint.sh') » (exit 126) ; mode Git 100644 : le conteneur ne peut pas démarrer sous Linux/macOS. (Daemon Docker indisponible dans cet environnement : l'échec est reproduit par exécution directe du script.)</t>
  </si>
  <si>
    <t xml:space="preserve">BUG-025</t>
  </si>
  <si>
    <t xml:space="preserve">TC-ENV-01.txt</t>
  </si>
  <si>
    <t xml:space="preserve">TC-NFR-01</t>
  </si>
  <si>
    <t xml:space="preserve">Robustesse</t>
  </si>
  <si>
    <t xml:space="preserve">Accès concurrent au dernier exemplaire en stock</t>
  </si>
  <si>
    <t xml:space="preserve">Vérifier qu'un stock de 2 ne peut pas être vendu 4 fois en parallèle.</t>
  </si>
  <si>
    <t xml:space="preserve">Salmon Bowl (stock 2) ; 4 commandes simultanées</t>
  </si>
  <si>
    <t xml:space="preserve">1. Lancer 4 commandes en parallèle (outil de charge)</t>
  </si>
  <si>
    <t xml:space="preserve">Au plus 2 commandes acceptées, stock final cohérent (jamais négatif, décrément exact).</t>
  </si>
  <si>
    <t xml:space="preserve">4 commandes acceptées sur 4 pour un stock initial de 2 ; stock final 1.</t>
  </si>
  <si>
    <t xml:space="preserve">BUG-029</t>
  </si>
  <si>
    <t xml:space="preserve">TC-NFR-01.txt</t>
  </si>
  <si>
    <t xml:space="preserve">TC-EXT-01</t>
  </si>
  <si>
    <t xml:space="preserve">Tests de fumée fournis (pytest)</t>
  </si>
  <si>
    <t xml:space="preserve">Rejouer la suite pytest livrée avec le projet.</t>
  </si>
  <si>
    <t xml:space="preserve">Dépendances installées</t>
  </si>
  <si>
    <t xml:space="preserve">tests/test_smoke.py (6 tests)</t>
  </si>
  <si>
    <t xml:space="preserve">1. Lancer `python -m pytest -q tests`
2. Lire le bilan</t>
  </si>
  <si>
    <t xml:space="preserve">6 tests verts.</t>
  </si>
  <si>
    <t xml:space="preserve">Tests fournis non verts — 1 failed, 5 passed, 19 warnings in 1.14s. Le test test_api_orders_with_key échoue avec AttributeError « 'NoneType' object has no attribute 'id' » (app/routes/api.py:219) : l'API s'appuie sur le compte alice@example.com, absent de la base de test.</t>
  </si>
  <si>
    <t xml:space="preserve">BUG-026</t>
  </si>
  <si>
    <t xml:space="preserve">TC-EXT-01.txt</t>
  </si>
  <si>
    <t xml:space="preserve">TC-EXT-02</t>
  </si>
  <si>
    <t xml:space="preserve">Swagger UI : Authorize et exécution</t>
  </si>
  <si>
    <t xml:space="preserve">Vérifier que la documentation interactive charge le contrat et permet un appel authentifié.</t>
  </si>
  <si>
    <t xml:space="preserve">Clé quickorder-demo-key</t>
  </si>
  <si>
    <t xml:space="preserve">1. Ouvrir /docs/
2. Cliquer sur Authorize, saisir la clé
3. Exécuter GET /health (Try it out → Execute)</t>
  </si>
  <si>
    <t xml:space="preserve">11 opérations listées, appel exécuté avec le code 200.</t>
  </si>
  <si>
    <t xml:space="preserve">Swagger UI chargé (11 opérations), clé API acceptée via Authorize, exécution → 200.</t>
  </si>
  <si>
    <t xml:space="preserve">TC-EXT-02_01_swagger_liste.png
TC-EXT-02_02_swagger_execute.png
TC-EXT-02.txt</t>
  </si>
  <si>
    <t xml:space="preserve">TC-EXT-03</t>
  </si>
  <si>
    <t xml:space="preserve">Affichage mobile (375 px)</t>
  </si>
  <si>
    <t xml:space="preserve">Vérifier l'absence de débordement horizontal sur mobile.</t>
  </si>
  <si>
    <t xml:space="preserve">Viewport 375 × 800</t>
  </si>
  <si>
    <t xml:space="preserve">1. Ouvrir l'accueil à 375 px
2. Se connecter, ajouter un produit, ouvrir /checkout
3. Mesurer la largeur du document</t>
  </si>
  <si>
    <t xml:space="preserve">Aucun défilement horizontal.</t>
  </si>
  <si>
    <t xml:space="preserve">Débordement horizontal : 375 / 410 px</t>
  </si>
  <si>
    <t xml:space="preserve">BUG-028</t>
  </si>
  <si>
    <t xml:space="preserve">TC-EXT-03_01_accueil_mobile.png
TC-EXT-03_02_checkout_mobile.png
TC-EXT-03.txt</t>
  </si>
  <si>
    <t xml:space="preserve">TC-EXT-04</t>
  </si>
  <si>
    <t xml:space="preserve">Modifier son profil</t>
  </si>
  <si>
    <t xml:space="preserve">Vérifier la mise à jour du nom et du téléphone.</t>
  </si>
  <si>
    <t xml:space="preserve">Alice connectée</t>
  </si>
  <si>
    <t xml:space="preserve">Nom « Alice M. » ; téléphone 0612345678</t>
  </si>
  <si>
    <t xml:space="preserve">1. Ouvrir /profile/
2. Modifier nom et téléphone
3. Enregistrer</t>
  </si>
  <si>
    <t xml:space="preserve">Message de confirmation ; nom mis à jour dans l'en-tête.</t>
  </si>
  <si>
    <t xml:space="preserve">Profil mis à jour et affiché dans l'en-tête.</t>
  </si>
  <si>
    <t xml:space="preserve">TC-EXT-04_01_profil_mis_a_jour.png</t>
  </si>
  <si>
    <t xml:space="preserve">TC-EXT-05</t>
  </si>
  <si>
    <t xml:space="preserve">Filtre « Végétarien »</t>
  </si>
  <si>
    <t xml:space="preserve">Vérifier le filtre végétarien de l'accueil.</t>
  </si>
  <si>
    <t xml:space="preserve">vegetarian=1</t>
  </si>
  <si>
    <t xml:space="preserve">1. Cocher « Végétarien » et rechercher</t>
  </si>
  <si>
    <t xml:space="preserve">Seuls les restaurants proposant un plat végétarien disponible.</t>
  </si>
  <si>
    <t xml:space="preserve">Restaurants avec au moins un plat végétarien : ['Couscous Atlas', 'Tokyo Bowl', 'Burger Factory', 'Green Kitchen', 'Pizza Roma'].</t>
  </si>
  <si>
    <t xml:space="preserve">TC-EXT-05_01_vegetarien.png
TC-EXT-05.txt</t>
  </si>
  <si>
    <t xml:space="preserve">TC-EXT-06</t>
  </si>
  <si>
    <t xml:space="preserve">Filtre par catégorie de cuisine</t>
  </si>
  <si>
    <t xml:space="preserve">Vérifier le filtre de catégorie de l'accueil.</t>
  </si>
  <si>
    <t xml:space="preserve">category=Japonais</t>
  </si>
  <si>
    <t xml:space="preserve">1. Choisir « Japonais »</t>
  </si>
  <si>
    <t xml:space="preserve">Seul Tokyo Bowl est affiché.</t>
  </si>
  <si>
    <t xml:space="preserve">Seul Tokyo Bowl affiché.</t>
  </si>
  <si>
    <t xml:space="preserve">TC-EXT-06_01_categorie_japonais.png</t>
  </si>
  <si>
    <t xml:space="preserve">TC-EXT-07</t>
  </si>
  <si>
    <t xml:space="preserve">Filtre par catégorie sur le menu d'un restaurant</t>
  </si>
  <si>
    <t xml:space="preserve">Vérifier le filtrage des produits par catégorie.</t>
  </si>
  <si>
    <t xml:space="preserve">Burger Factory ; category=Burgers</t>
  </si>
  <si>
    <t xml:space="preserve">1. Chercher un contrôle de filtre sur le menu
2. Ouvrir /restaurant/1?category=Burgers</t>
  </si>
  <si>
    <t xml:space="preserve">Un contrôle de filtre est proposé et fonctionne.</t>
  </si>
  <si>
    <t xml:space="preserve">La route accepte ?category= et ?q= mais aucun contrôle de filtre n'est affiché sur la page du restaurant : filtrage inaccessible depuis l'interface.</t>
  </si>
  <si>
    <t xml:space="preserve">TC-EXT-07_01_menu_filtre_categorie.png
TC-EXT-07.txt</t>
  </si>
  <si>
    <t xml:space="preserve">TC-EXT-08</t>
  </si>
  <si>
    <t xml:space="preserve">Tableau de bord administrateur</t>
  </si>
  <si>
    <t xml:space="preserve">Vérifier les compteurs et la liste des commandes récentes.</t>
  </si>
  <si>
    <t xml:space="preserve">Admin connecté</t>
  </si>
  <si>
    <t xml:space="preserve">admin@quickorder.local</t>
  </si>
  <si>
    <t xml:space="preserve">1. Ouvrir /admin/</t>
  </si>
  <si>
    <t xml:space="preserve">Compteurs (utilisateurs, commandes, restaurants, produits) et 10 dernières commandes.</t>
  </si>
  <si>
    <t xml:space="preserve">Tableau de bord : compteurs et 10 dernières commandes.</t>
  </si>
  <si>
    <t xml:space="preserve">TC-EXT-08_01_tableau_de_bord_admin.png
TC-EXT-08.txt</t>
  </si>
  <si>
    <t xml:space="preserve">TC-EXT-09</t>
  </si>
  <si>
    <t xml:space="preserve">Tri par frais de livraison</t>
  </si>
  <si>
    <t xml:space="preserve">Vérifier le tri « Livraison moins chère ».</t>
  </si>
  <si>
    <t xml:space="preserve">sort=price</t>
  </si>
  <si>
    <t xml:space="preserve">1. Choisir le tri « Livraison moins chère »</t>
  </si>
  <si>
    <t xml:space="preserve">Frais croissants.</t>
  </si>
  <si>
    <t xml:space="preserve">Tri par frais de livraison croissants.</t>
  </si>
  <si>
    <t xml:space="preserve">TC-EXT-09_01_tri_livraison.png
TC-EXT-09.txt</t>
  </si>
  <si>
    <t xml:space="preserve">TC-EXT-10</t>
  </si>
  <si>
    <t xml:space="preserve">Libellés de statut et bouton d'annulation</t>
  </si>
  <si>
    <t xml:space="preserve">Vérifier la cohérence de l'interface avec l'état de la commande.</t>
  </si>
  <si>
    <t xml:space="preserve">Alice connectée ; commande #1 livrée</t>
  </si>
  <si>
    <t xml:space="preserve">Commande #1</t>
  </si>
  <si>
    <t xml:space="preserve">1. Ouvrir /orders
2. Ouvrir /orders/1</t>
  </si>
  <si>
    <t xml:space="preserve">Statuts en français ; pas de bouton « Annuler » sur une commande livrée.</t>
  </si>
  <si>
    <t xml:space="preserve">Statuts affichés en anglais technique (['delivered']) et bouton « Annuler la commande » proposé sur la commande #1 livrée (le clic est refusé ensuite).</t>
  </si>
  <si>
    <t xml:space="preserve">BUG-027</t>
  </si>
  <si>
    <t xml:space="preserve">TC-EXT-10_01_commande_livree_bouton.png
TC-EXT-10_02_liste_statuts.png
TC-EXT-10.txt</t>
  </si>
  <si>
    <t xml:space="preserve">TC-EXT-11</t>
  </si>
  <si>
    <t xml:space="preserve">Déconnexion</t>
  </si>
  <si>
    <t xml:space="preserve">Vérifier la fin de session.</t>
  </si>
  <si>
    <t xml:space="preserve">Lien Déconnexion</t>
  </si>
  <si>
    <t xml:space="preserve">1. Cliquer sur Déconnexion
2. Ouvrir /orders</t>
  </si>
  <si>
    <t xml:space="preserve">Redirection vers /login.</t>
  </si>
  <si>
    <t xml:space="preserve">Après déconnexion, /orders redirige vers /login.</t>
  </si>
  <si>
    <t xml:space="preserve">TC-EXT-11_01_apres_deconnexion.png</t>
  </si>
  <si>
    <t xml:space="preserve">TC-EXT-12</t>
  </si>
  <si>
    <t xml:space="preserve">Console du navigateur</t>
  </si>
  <si>
    <t xml:space="preserve">Vérifier l'absence d'erreurs JavaScript/réseau.</t>
  </si>
  <si>
    <t xml:space="preserve">Pages /, /restaurant/1, /cart, /orders, /profile/, /login</t>
  </si>
  <si>
    <t xml:space="preserve">1. Naviguer sur les pages
2. Observer la console</t>
  </si>
  <si>
    <t xml:space="preserve">Aucune erreur ni avertissement.</t>
  </si>
  <si>
    <t xml:space="preserve">Console navigateur sans erreur.</t>
  </si>
  <si>
    <t xml:space="preserve">TC-EXT-12_01_derniere_page.png
TC-EXT-12.txt</t>
  </si>
  <si>
    <t xml:space="preserve">TC-EXT-13</t>
  </si>
  <si>
    <t xml:space="preserve">Collection Postman fournie</t>
  </si>
  <si>
    <t xml:space="preserve">Rejouer les 12 requêtes de la collection du projet.</t>
  </si>
  <si>
    <t xml:space="preserve">docs/quickorder-api.postman_collection.json</t>
  </si>
  <si>
    <t xml:space="preserve">1. Exécuter chaque requête avec les variables par défaut</t>
  </si>
  <si>
    <t xml:space="preserve">Aucune réponse 5xx.</t>
  </si>
  <si>
    <t xml:space="preserve">La collection Postman fournie s'exécute sans erreur 5xx.</t>
  </si>
  <si>
    <t xml:space="preserve">TC-EXT-13.txt</t>
  </si>
  <si>
    <t xml:space="preserve">TC-EXT-14</t>
  </si>
  <si>
    <t xml:space="preserve">Recherche par cuisine ou description</t>
  </si>
  <si>
    <t xml:space="preserve">Vérifier la portée de la recherche textuelle.</t>
  </si>
  <si>
    <t xml:space="preserve">q = japonais ; marocaine ; Marocain</t>
  </si>
  <si>
    <t xml:space="preserve">1. Saisir chaque terme dans la recherche</t>
  </si>
  <si>
    <t xml:space="preserve">Les restaurants de la cuisine concernée sont retrouvés.</t>
  </si>
  <si>
    <t xml:space="preserve">Résultats : {'japonais': [], 'marocaine': [], 'Marocain': []} — la recherche ne porte que sur le nom du restaurant.</t>
  </si>
  <si>
    <t xml:space="preserve">TC-EXT-14_01_q_japonais.png
TC-EXT-14_02_q_marocaine.png
TC-EXT-14_03_q_Marocain.png
TC-EXT-14.txt</t>
  </si>
  <si>
    <t xml:space="preserve">TC-EXT-15</t>
  </si>
  <si>
    <t xml:space="preserve">Validation des formats (email, téléphone, code postal)</t>
  </si>
  <si>
    <t xml:space="preserve">Vérifier les contrôles serveur des champs libres.</t>
  </si>
  <si>
    <t xml:space="preserve">Email a@b ; mot de passe 12345678 ; téléphone abc ; code postal ZZZZZ</t>
  </si>
  <si>
    <t xml:space="preserve">1. S'inscrire avec ces valeurs (champ email passé en texte)
2. Saisir téléphone et code postal dans le profil</t>
  </si>
  <si>
    <t xml:space="preserve">Valeurs refusées avec un message.</t>
  </si>
  <si>
    <t xml:space="preserve">Compte créé avec l'email « a@b » et le mot de passe « 12345678 » ; téléphone « abc » et code postal « ZZZZZ » acceptés.</t>
  </si>
  <si>
    <t xml:space="preserve">TC-EXT-15_01_email_a_at_b.png
TC-EXT-15_02_profil_valeurs_libres.png
TC-EXT-15.txt</t>
  </si>
  <si>
    <t xml:space="preserve">TC-EXT-16</t>
  </si>
  <si>
    <t xml:space="preserve">Cohérence des statuts et des erreurs de l'API</t>
  </si>
  <si>
    <t xml:space="preserve">Comparer les réponses d'erreur équivalentes.</t>
  </si>
  <si>
    <t xml:space="preserve">Coupon FOO ; WELCOME10 avec 5 € ; commande 999</t>
  </si>
  <si>
    <t xml:space="preserve">1. POST /coupons/validate (deux cas)
2. POST /orders/999/cancel</t>
  </si>
  <si>
    <t xml:space="preserve">Statuts cohérents et erreurs au format JSON.</t>
  </si>
  <si>
    <t xml:space="preserve">Coupon inconnu → 404 ; sous le minimum → 200 (valid:false) ; commande 999 → 404 en text/html; charset=utf-8.</t>
  </si>
  <si>
    <t xml:space="preserve">TC-EXT-16.txt</t>
  </si>
  <si>
    <t xml:space="preserve">TC-EXT-17</t>
  </si>
  <si>
    <t xml:space="preserve">Publication et affichage d'avis</t>
  </si>
  <si>
    <t xml:space="preserve">Vérifier que les avis publiés apparaissent sur la fiche.</t>
  </si>
  <si>
    <t xml:space="preserve">Pizza Roma ; deux avis à 1/5</t>
  </si>
  <si>
    <t xml:space="preserve">1. Publier un avis
2. Recharger la fiche</t>
  </si>
  <si>
    <t xml:space="preserve">Avis visibles sur la fiche.</t>
  </si>
  <si>
    <t xml:space="preserve">Deux avis publiés par le même client sans commande, aucun avis n'est affiché sur la fiche du restaurant.</t>
  </si>
  <si>
    <t xml:space="preserve">TC-EXT-17_01_fiche_apres_avis.png
TC-EXT-17.txt</t>
  </si>
  <si>
    <t xml:space="preserve">TC-EXT-18</t>
  </si>
  <si>
    <t xml:space="preserve">Retirer une ligne du panier</t>
  </si>
  <si>
    <t xml:space="preserve">Vérifier qu'un produit peut être retiré depuis l'interface.</t>
  </si>
  <si>
    <t xml:space="preserve">Panier : 1 × Classic Burger</t>
  </si>
  <si>
    <t xml:space="preserve">1. Ouvrir /cart
2. Chercher un bouton « Retirer »</t>
  </si>
  <si>
    <t xml:space="preserve">Un bouton « Retirer » est disponible.</t>
  </si>
  <si>
    <t xml:space="preserve">Aucun bouton « Retirer » dans le panier (route POST /cart/remove/&lt;id&gt; non reliée) ; seul moyen : mettre la quantité à 0.</t>
  </si>
  <si>
    <t xml:space="preserve">TC-EXT-18_01_panier.png
TC-EXT-18.txt</t>
  </si>
  <si>
    <t xml:space="preserve">TC-EXT-19</t>
  </si>
  <si>
    <t xml:space="preserve">Protection contre les essais de connexion répétés</t>
  </si>
  <si>
    <t xml:space="preserve">Vérifier l'absence de limitation de tentatives.</t>
  </si>
  <si>
    <t xml:space="preserve">12 mots de passe erronés pour alice@example.com</t>
  </si>
  <si>
    <t xml:space="preserve">1. Échouer 12 fois la connexion
2. Se connecter avec le bon mot de passe</t>
  </si>
  <si>
    <t xml:space="preserve">Délai, blocage ou CAPTCHA après plusieurs échecs.</t>
  </si>
  <si>
    <t xml:space="preserve">12 échecs consécutifs sans délai, ni blocage, ni CAPTCHA ; la connexion valide réussit immédiatement.</t>
  </si>
  <si>
    <t xml:space="preserve">TC-EXT-19_01_connexion_apres_12_echecs.png
TC-EXT-19.txt</t>
  </si>
  <si>
    <t xml:space="preserve">TC-EXT-20</t>
  </si>
  <si>
    <t xml:space="preserve">Exposition du débogueur et configuration de lancement</t>
  </si>
  <si>
    <t xml:space="preserve">Vérifier le mode de lancement et la gestion des erreurs 500.</t>
  </si>
  <si>
    <t xml:space="preserve">Application lancée avec `python run.py`</t>
  </si>
  <si>
    <t xml:space="preserve">POST /api/orders avec le corps [1]</t>
  </si>
  <si>
    <t xml:space="preserve">1. Lire le journal de démarrage
2. Provoquer une erreur 500</t>
  </si>
  <si>
    <t xml:space="preserve">Mode debug désactivé, aucune page de débogage exposée.</t>
  </si>
  <si>
    <t xml:space="preserve">Erreur 500 avec la page interactive du débogueur Werkzeug (traceback et chemins du serveur) ; journal : « Debug mode: on », « Running on all addresses (0.0.0.0) ».</t>
  </si>
  <si>
    <t xml:space="preserve">TC-EXT-20_01_accueil.png
TC-EXT-20.txt</t>
  </si>
  <si>
    <t xml:space="preserve">Sévérité</t>
  </si>
  <si>
    <t xml:space="preserve">Cas de test liés</t>
  </si>
  <si>
    <t xml:space="preserve">Le paiement PayPal crée deux commandes identiques (web et API)</t>
  </si>
  <si>
    <t xml:space="preserve">UI + API</t>
  </si>
  <si>
    <t xml:space="preserve">Paiement / Commande</t>
  </si>
  <si>
    <t xml:space="preserve">Critique</t>
  </si>
  <si>
    <t xml:space="preserve">TC-RM-09, TC-RM-10</t>
  </si>
  <si>
    <t xml:space="preserve">Ouvert</t>
  </si>
  <si>
    <t xml:space="preserve">Un restaurant fermé peut recevoir des commandes (web et API)</t>
  </si>
  <si>
    <t xml:space="preserve">Majeure</t>
  </si>
  <si>
    <t xml:space="preserve">TC-RM-02, TC-RM-03</t>
  </si>
  <si>
    <t xml:space="preserve">Le paiement en espèces accepte un montant inférieur au total (monnaie négative)</t>
  </si>
  <si>
    <t xml:space="preserve">TC-RM-06, TC-RM-07, TC-RM-08</t>
  </si>
  <si>
    <t xml:space="preserve">Contrôles de stock et de quantité défaillants (stock négatif, hors-stock commandable)</t>
  </si>
  <si>
    <t xml:space="preserve">Stock / Panier</t>
  </si>
  <si>
    <t xml:space="preserve">TC-LIM-08, TC-LIM-09, TC-LIM-10, TC-LIM-13</t>
  </si>
  <si>
    <t xml:space="preserve">Le minimum de commande du restaurant n'est pas appliqué (web et API)</t>
  </si>
  <si>
    <t xml:space="preserve">TC-RM-04, TC-RM-05</t>
  </si>
  <si>
    <t xml:space="preserve">Le filtre « Livraison max » est inversé</t>
  </si>
  <si>
    <t xml:space="preserve">ATLAS15 annoncé à 15 % mais appliqué à 10 %</t>
  </si>
  <si>
    <t xml:space="preserve">Coupons / Promotions</t>
  </si>
  <si>
    <t xml:space="preserve">TOKYO30 (« livraison offerte ») s'applique à tous les restaurants et dépasse les frais</t>
  </si>
  <si>
    <t xml:space="preserve">Mineure</t>
  </si>
  <si>
    <t xml:space="preserve">TC-RM-12, TC-RM-13</t>
  </si>
  <si>
    <t xml:space="preserve">API : un coupon expiré est appliqué et un coupon inconnu est ignoré sans message</t>
  </si>
  <si>
    <t xml:space="preserve">Coupons / Commande</t>
  </si>
  <si>
    <t xml:space="preserve">TC-ERR-14, TC-ERR-20</t>
  </si>
  <si>
    <t xml:space="preserve">API : des entrées mal formées provoquent des erreurs 500</t>
  </si>
  <si>
    <t xml:space="preserve">Robustesse / Validation</t>
  </si>
  <si>
    <t xml:space="preserve">TC-ERR-08, TC-ERR-09, TC-ERR-10</t>
  </si>
  <si>
    <t xml:space="preserve">API : les erreurs 404 renvoient du HTML et les codes de statut sont incohérents</t>
  </si>
  <si>
    <t xml:space="preserve">Contrat d'API</t>
  </si>
  <si>
    <t xml:space="preserve">TC-ERR-05, TC-EXT-16</t>
  </si>
  <si>
    <t xml:space="preserve">API /coupons/validate fait confiance au sous-total fourni par le client</t>
  </si>
  <si>
    <t xml:space="preserve">TC-ERR-22, TC-LIM-03</t>
  </si>
  <si>
    <t xml:space="preserve">La recherche ne porte que sur le nom (pas la cuisine ni la description) et ne neutralise pas les jokers</t>
  </si>
  <si>
    <t xml:space="preserve">Catalogue / Recherche</t>
  </si>
  <si>
    <t xml:space="preserve">TC-LIM-11, TC-EXT-14</t>
  </si>
  <si>
    <t xml:space="preserve">L'inscription crée une adresse par défaut vide, utilisable pour commander</t>
  </si>
  <si>
    <t xml:space="preserve">Inscription / Commande</t>
  </si>
  <si>
    <t xml:space="preserve">Redirection ouverte après connexion (paramètre `next`)</t>
  </si>
  <si>
    <t xml:space="preserve">Sécurité / Authentification</t>
  </si>
  <si>
    <t xml:space="preserve">L'annulation ne restitue ni le stock ni l'état du paiement</t>
  </si>
  <si>
    <t xml:space="preserve">Commande / Stock / Paiement</t>
  </si>
  <si>
    <t xml:space="preserve">L'administrateur peut appliquer des transitions de statut impossibles</t>
  </si>
  <si>
    <t xml:space="preserve">Administration / Commande</t>
  </si>
  <si>
    <t xml:space="preserve">Avis : publiables sans commande, multiples, jamais affichés, note du restaurant non recalculée</t>
  </si>
  <si>
    <t xml:space="preserve">Avis / Notes</t>
  </si>
  <si>
    <t xml:space="preserve">TC-RM-18, TC-RM-19, TC-EXT-17</t>
  </si>
  <si>
    <t xml:space="preserve">Le panier mono-restaurant peut être contourné via la mise à jour du panier</t>
  </si>
  <si>
    <t xml:space="preserve">« Appliquer » le coupon réinitialise l'adresse, la note et le mode de paiement</t>
  </si>
  <si>
    <t xml:space="preserve">Checkout</t>
  </si>
  <si>
    <t xml:space="preserve">Les heures de commande sont affichées en UTC sans indication de fuseau</t>
  </si>
  <si>
    <t xml:space="preserve">Fonctions annoncées mais inaccessibles ou non testables depuis l'interface</t>
  </si>
  <si>
    <t xml:space="preserve">Navigation / Fonctionnalités</t>
  </si>
  <si>
    <t xml:space="preserve">TC-NOM-15, TC-NOM-16, TC-ERR-21, TC-EXT-07, TC-EXT-18</t>
  </si>
  <si>
    <t xml:space="preserve">Durcissement de sécurité insuffisant (debug, secret par défaut, CSRF, déconnexion en GET, force brute)</t>
  </si>
  <si>
    <t xml:space="preserve">UI + Env</t>
  </si>
  <si>
    <t xml:space="preserve">Sécurité / Configuration</t>
  </si>
  <si>
    <t xml:space="preserve">TC-ERR-23, TC-EXT-19, TC-EXT-20</t>
  </si>
  <si>
    <t xml:space="preserve">Validation insuffisante des champs (nom, email, téléphone, code postal)</t>
  </si>
  <si>
    <t xml:space="preserve">Inscription / Profil</t>
  </si>
  <si>
    <t xml:space="preserve">TC-LIM-12, TC-EXT-15</t>
  </si>
  <si>
    <t xml:space="preserve">`docker compose up` échoue sous Linux/macOS : docker-entrypoint.sh n'est pas exécutable</t>
  </si>
  <si>
    <t xml:space="preserve">Déploiement / Docker</t>
  </si>
  <si>
    <t xml:space="preserve">La suite de tests de fumée fournie n'est pas verte (test_api_orders_with_key)</t>
  </si>
  <si>
    <t xml:space="preserve">Tests automatisés</t>
  </si>
  <si>
    <t xml:space="preserve">Interface : statuts affichés en anglais technique et bouton « Annuler » proposé sur une commande livrée</t>
  </si>
  <si>
    <t xml:space="preserve">Commandes</t>
  </si>
  <si>
    <t xml:space="preserve">TC-EXT-10, TC-RM-15</t>
  </si>
  <si>
    <t xml:space="preserve">Mobile : la page de paiement déborde horizontalement à 375 px</t>
  </si>
  <si>
    <t xml:space="preserve">Responsive</t>
  </si>
  <si>
    <t xml:space="preserve">Stock mis à jour de façon non atomique : 4 commandes simultanées, décréments perdus</t>
  </si>
  <si>
    <t xml:space="preserve">Stock / Concurrence</t>
  </si>
  <si>
    <t xml:space="preserve">Synthèse de la campagne (calculée)</t>
  </si>
  <si>
    <t xml:space="preserve">Tous les chiffres sont calculés par formules à partir des onglets « Cas de test » et « Bugs ».</t>
  </si>
  <si>
    <t xml:space="preserve">Total</t>
  </si>
  <si>
    <t xml:space="preserve">Taux de réussite</t>
  </si>
  <si>
    <t xml:space="preserve">Indicateurs</t>
  </si>
  <si>
    <t xml:space="preserve">Cas de test prévus</t>
  </si>
  <si>
    <t xml:space="preserve">Cas exécutés (Pass + Fail)</t>
  </si>
  <si>
    <t xml:space="preserve">Taux d'exécution</t>
  </si>
  <si>
    <t xml:space="preserve">Taux de réussite (Pass / exécutés)</t>
  </si>
  <si>
    <t xml:space="preserve">Cas P1 en échec</t>
  </si>
  <si>
    <t xml:space="preserve">Cas P1 au total</t>
  </si>
  <si>
    <t xml:space="preserve">Bugs ouverts</t>
  </si>
  <si>
    <t xml:space="preserve">Recommandation : NO-GO (voir docs/execution-report.md)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</si>
</sst>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>
          <bgColor rgb="FFFF9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99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/>
      <c r="B7" s="3"/>
    </row>
    <row r="8" customFormat="false" ht="15" hidden="false" customHeight="false" outlineLevel="0" collapsed="false">
      <c r="A8" s="2" t="s">
        <v>9</v>
      </c>
      <c r="B8" s="3"/>
    </row>
    <row r="9" customFormat="false" ht="23.85" hidden="false" customHeight="false" outlineLevel="0" collapsed="false">
      <c r="A9" s="2" t="s">
        <v>10</v>
      </c>
      <c r="B9" s="3" t="s">
        <v>11</v>
      </c>
    </row>
    <row r="10" customFormat="false" ht="15" hidden="false" customHeight="false" outlineLevel="0" collapsed="false">
      <c r="A10" s="2" t="s">
        <v>12</v>
      </c>
      <c r="B10" s="3" t="s">
        <v>13</v>
      </c>
    </row>
    <row r="11" customFormat="false" ht="15" hidden="false" customHeight="false" outlineLevel="0" collapsed="false">
      <c r="A11" s="2" t="s">
        <v>14</v>
      </c>
      <c r="B11" s="3" t="s">
        <v>15</v>
      </c>
    </row>
    <row r="12" customFormat="false" ht="15" hidden="false" customHeight="false" outlineLevel="0" collapsed="false">
      <c r="A12" s="2" t="s">
        <v>16</v>
      </c>
      <c r="B12" s="3" t="s">
        <v>17</v>
      </c>
    </row>
    <row r="13" customFormat="false" ht="23.85" hidden="false" customHeight="false" outlineLevel="0" collapsed="false">
      <c r="A13" s="2" t="s">
        <v>18</v>
      </c>
      <c r="B13" s="3" t="s">
        <v>19</v>
      </c>
    </row>
    <row r="14" customFormat="false" ht="15" hidden="false" customHeight="false" outlineLevel="0" collapsed="false">
      <c r="A14" s="2" t="s">
        <v>20</v>
      </c>
      <c r="B14" s="3" t="s">
        <v>21</v>
      </c>
    </row>
    <row r="15" customFormat="false" ht="23.85" hidden="false" customHeight="false" outlineLevel="0" collapsed="false">
      <c r="A15" s="2" t="s">
        <v>22</v>
      </c>
      <c r="B15" s="3" t="s">
        <v>23</v>
      </c>
    </row>
    <row r="16" customFormat="false" ht="15" hidden="false" customHeight="false" outlineLevel="0" collapsed="false">
      <c r="A16" s="2"/>
      <c r="B16" s="3"/>
    </row>
    <row r="17" customFormat="false" ht="15" hidden="false" customHeight="false" outlineLevel="0" collapsed="false">
      <c r="A17" s="2" t="s">
        <v>24</v>
      </c>
      <c r="B17" s="3"/>
    </row>
    <row r="18" customFormat="false" ht="23.85" hidden="false" customHeight="false" outlineLevel="0" collapsed="false">
      <c r="A18" s="2" t="s">
        <v>25</v>
      </c>
      <c r="B18" s="3" t="s">
        <v>26</v>
      </c>
    </row>
    <row r="19" customFormat="false" ht="23.85" hidden="false" customHeight="false" outlineLevel="0" collapsed="false">
      <c r="A19" s="2" t="s">
        <v>27</v>
      </c>
      <c r="B19" s="3" t="s">
        <v>28</v>
      </c>
    </row>
    <row r="20" customFormat="false" ht="23.85" hidden="false" customHeight="false" outlineLevel="0" collapsed="false">
      <c r="A20" s="2" t="s">
        <v>29</v>
      </c>
      <c r="B20" s="3" t="s">
        <v>30</v>
      </c>
    </row>
    <row r="21" customFormat="false" ht="23.85" hidden="false" customHeight="false" outlineLevel="0" collapsed="false">
      <c r="A21" s="2" t="s">
        <v>31</v>
      </c>
      <c r="B21" s="3" t="s">
        <v>32</v>
      </c>
    </row>
    <row r="22" customFormat="false" ht="15" hidden="false" customHeight="false" outlineLevel="0" collapsed="false">
      <c r="A22" s="2" t="s">
        <v>33</v>
      </c>
      <c r="B22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36"/>
    <col collapsed="false" customWidth="true" hidden="false" outlineLevel="0" max="9" min="8" style="0" width="34"/>
    <col collapsed="false" customWidth="true" hidden="false" outlineLevel="0" max="10" min="10" style="0" width="46"/>
    <col collapsed="false" customWidth="true" hidden="false" outlineLevel="0" max="11" min="11" style="0" width="42"/>
    <col collapsed="false" customWidth="true" hidden="false" outlineLevel="0" max="12" min="12" style="0" width="46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36"/>
  </cols>
  <sheetData>
    <row r="1" customFormat="false" ht="24" hidden="false" customHeight="true" outlineLevel="0" collapsed="false">
      <c r="A1" s="4" t="s">
        <v>10</v>
      </c>
      <c r="B1" s="4" t="s">
        <v>12</v>
      </c>
      <c r="C1" s="4" t="s">
        <v>35</v>
      </c>
      <c r="D1" s="4" t="s">
        <v>14</v>
      </c>
      <c r="E1" s="4" t="s">
        <v>16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18</v>
      </c>
      <c r="N1" s="4" t="s">
        <v>20</v>
      </c>
      <c r="O1" s="4" t="s">
        <v>43</v>
      </c>
    </row>
    <row r="2" customFormat="false" ht="57.45" hidden="false" customHeight="false" outlineLevel="0" collapsed="false">
      <c r="A2" s="5" t="s">
        <v>44</v>
      </c>
      <c r="B2" s="6" t="s">
        <v>45</v>
      </c>
      <c r="C2" s="7" t="s">
        <v>46</v>
      </c>
      <c r="D2" s="6" t="s">
        <v>47</v>
      </c>
      <c r="E2" s="6" t="s">
        <v>48</v>
      </c>
      <c r="F2" s="7" t="s">
        <v>49</v>
      </c>
      <c r="G2" s="7" t="s">
        <v>50</v>
      </c>
      <c r="H2" s="7" t="s">
        <v>51</v>
      </c>
      <c r="I2" s="7" t="s">
        <v>52</v>
      </c>
      <c r="J2" s="7" t="s">
        <v>53</v>
      </c>
      <c r="K2" s="7" t="s">
        <v>54</v>
      </c>
      <c r="L2" s="7" t="s">
        <v>55</v>
      </c>
      <c r="M2" s="6" t="s">
        <v>56</v>
      </c>
      <c r="N2" s="6"/>
      <c r="O2" s="7" t="s">
        <v>57</v>
      </c>
    </row>
    <row r="3" customFormat="false" ht="35.05" hidden="false" customHeight="false" outlineLevel="0" collapsed="false">
      <c r="A3" s="5" t="s">
        <v>58</v>
      </c>
      <c r="B3" s="6" t="s">
        <v>45</v>
      </c>
      <c r="C3" s="7" t="s">
        <v>59</v>
      </c>
      <c r="D3" s="6" t="s">
        <v>47</v>
      </c>
      <c r="E3" s="6" t="s">
        <v>48</v>
      </c>
      <c r="F3" s="7" t="s">
        <v>60</v>
      </c>
      <c r="G3" s="7" t="s">
        <v>61</v>
      </c>
      <c r="H3" s="7" t="s">
        <v>51</v>
      </c>
      <c r="I3" s="7" t="s">
        <v>62</v>
      </c>
      <c r="J3" s="7" t="s">
        <v>63</v>
      </c>
      <c r="K3" s="7" t="s">
        <v>64</v>
      </c>
      <c r="L3" s="7" t="s">
        <v>65</v>
      </c>
      <c r="M3" s="6" t="s">
        <v>56</v>
      </c>
      <c r="N3" s="6"/>
      <c r="O3" s="7" t="s">
        <v>66</v>
      </c>
    </row>
    <row r="4" customFormat="false" ht="35.05" hidden="false" customHeight="false" outlineLevel="0" collapsed="false">
      <c r="A4" s="5" t="s">
        <v>67</v>
      </c>
      <c r="B4" s="6" t="s">
        <v>45</v>
      </c>
      <c r="C4" s="7" t="s">
        <v>59</v>
      </c>
      <c r="D4" s="6" t="s">
        <v>47</v>
      </c>
      <c r="E4" s="6" t="s">
        <v>48</v>
      </c>
      <c r="F4" s="7" t="s">
        <v>68</v>
      </c>
      <c r="G4" s="7" t="s">
        <v>69</v>
      </c>
      <c r="H4" s="7" t="s">
        <v>70</v>
      </c>
      <c r="I4" s="7" t="s">
        <v>71</v>
      </c>
      <c r="J4" s="7" t="s">
        <v>72</v>
      </c>
      <c r="K4" s="7" t="s">
        <v>73</v>
      </c>
      <c r="L4" s="7" t="s">
        <v>74</v>
      </c>
      <c r="M4" s="6" t="s">
        <v>56</v>
      </c>
      <c r="N4" s="6"/>
      <c r="O4" s="7" t="s">
        <v>75</v>
      </c>
    </row>
    <row r="5" customFormat="false" ht="35.05" hidden="false" customHeight="false" outlineLevel="0" collapsed="false">
      <c r="A5" s="5" t="s">
        <v>76</v>
      </c>
      <c r="B5" s="6" t="s">
        <v>45</v>
      </c>
      <c r="C5" s="7" t="s">
        <v>46</v>
      </c>
      <c r="D5" s="6" t="s">
        <v>47</v>
      </c>
      <c r="E5" s="6" t="s">
        <v>77</v>
      </c>
      <c r="F5" s="7" t="s">
        <v>78</v>
      </c>
      <c r="G5" s="7" t="s">
        <v>79</v>
      </c>
      <c r="H5" s="7" t="s">
        <v>70</v>
      </c>
      <c r="I5" s="7" t="s">
        <v>80</v>
      </c>
      <c r="J5" s="7" t="s">
        <v>81</v>
      </c>
      <c r="K5" s="7" t="s">
        <v>82</v>
      </c>
      <c r="L5" s="7" t="s">
        <v>83</v>
      </c>
      <c r="M5" s="6" t="s">
        <v>56</v>
      </c>
      <c r="N5" s="6"/>
      <c r="O5" s="7" t="s">
        <v>84</v>
      </c>
    </row>
    <row r="6" customFormat="false" ht="35.05" hidden="false" customHeight="false" outlineLevel="0" collapsed="false">
      <c r="A6" s="5" t="s">
        <v>85</v>
      </c>
      <c r="B6" s="6" t="s">
        <v>45</v>
      </c>
      <c r="C6" s="7" t="s">
        <v>86</v>
      </c>
      <c r="D6" s="6" t="s">
        <v>47</v>
      </c>
      <c r="E6" s="6" t="s">
        <v>48</v>
      </c>
      <c r="F6" s="7" t="s">
        <v>87</v>
      </c>
      <c r="G6" s="7" t="s">
        <v>88</v>
      </c>
      <c r="H6" s="7" t="s">
        <v>89</v>
      </c>
      <c r="I6" s="7" t="s">
        <v>90</v>
      </c>
      <c r="J6" s="7" t="s">
        <v>91</v>
      </c>
      <c r="K6" s="7" t="s">
        <v>92</v>
      </c>
      <c r="L6" s="7" t="s">
        <v>93</v>
      </c>
      <c r="M6" s="6" t="s">
        <v>56</v>
      </c>
      <c r="N6" s="6"/>
      <c r="O6" s="7" t="s">
        <v>94</v>
      </c>
    </row>
    <row r="7" customFormat="false" ht="35.05" hidden="false" customHeight="false" outlineLevel="0" collapsed="false">
      <c r="A7" s="5" t="s">
        <v>95</v>
      </c>
      <c r="B7" s="6" t="s">
        <v>45</v>
      </c>
      <c r="C7" s="7" t="s">
        <v>86</v>
      </c>
      <c r="D7" s="6" t="s">
        <v>47</v>
      </c>
      <c r="E7" s="6" t="s">
        <v>77</v>
      </c>
      <c r="F7" s="7" t="s">
        <v>96</v>
      </c>
      <c r="G7" s="7" t="s">
        <v>97</v>
      </c>
      <c r="H7" s="7" t="s">
        <v>98</v>
      </c>
      <c r="I7" s="7" t="s">
        <v>99</v>
      </c>
      <c r="J7" s="7" t="s">
        <v>100</v>
      </c>
      <c r="K7" s="7" t="s">
        <v>101</v>
      </c>
      <c r="L7" s="7" t="s">
        <v>102</v>
      </c>
      <c r="M7" s="6" t="s">
        <v>56</v>
      </c>
      <c r="N7" s="6"/>
      <c r="O7" s="7" t="s">
        <v>103</v>
      </c>
    </row>
    <row r="8" customFormat="false" ht="46.25" hidden="false" customHeight="false" outlineLevel="0" collapsed="false">
      <c r="A8" s="5" t="s">
        <v>104</v>
      </c>
      <c r="B8" s="6" t="s">
        <v>45</v>
      </c>
      <c r="C8" s="7" t="s">
        <v>105</v>
      </c>
      <c r="D8" s="6" t="s">
        <v>47</v>
      </c>
      <c r="E8" s="6" t="s">
        <v>48</v>
      </c>
      <c r="F8" s="7" t="s">
        <v>106</v>
      </c>
      <c r="G8" s="7" t="s">
        <v>107</v>
      </c>
      <c r="H8" s="7" t="s">
        <v>108</v>
      </c>
      <c r="I8" s="7" t="s">
        <v>109</v>
      </c>
      <c r="J8" s="7" t="s">
        <v>110</v>
      </c>
      <c r="K8" s="7" t="s">
        <v>111</v>
      </c>
      <c r="L8" s="7" t="s">
        <v>112</v>
      </c>
      <c r="M8" s="6" t="s">
        <v>56</v>
      </c>
      <c r="N8" s="6"/>
      <c r="O8" s="7" t="s">
        <v>113</v>
      </c>
    </row>
    <row r="9" customFormat="false" ht="35.05" hidden="false" customHeight="false" outlineLevel="0" collapsed="false">
      <c r="A9" s="5" t="s">
        <v>114</v>
      </c>
      <c r="B9" s="6" t="s">
        <v>45</v>
      </c>
      <c r="C9" s="7" t="s">
        <v>105</v>
      </c>
      <c r="D9" s="6" t="s">
        <v>47</v>
      </c>
      <c r="E9" s="6" t="s">
        <v>77</v>
      </c>
      <c r="F9" s="7" t="s">
        <v>115</v>
      </c>
      <c r="G9" s="7" t="s">
        <v>116</v>
      </c>
      <c r="H9" s="7" t="s">
        <v>117</v>
      </c>
      <c r="I9" s="7" t="s">
        <v>118</v>
      </c>
      <c r="J9" s="7" t="s">
        <v>119</v>
      </c>
      <c r="K9" s="7" t="s">
        <v>120</v>
      </c>
      <c r="L9" s="7" t="s">
        <v>121</v>
      </c>
      <c r="M9" s="6" t="s">
        <v>56</v>
      </c>
      <c r="N9" s="6"/>
      <c r="O9" s="7" t="s">
        <v>122</v>
      </c>
    </row>
    <row r="10" customFormat="false" ht="35.05" hidden="false" customHeight="false" outlineLevel="0" collapsed="false">
      <c r="A10" s="5" t="s">
        <v>123</v>
      </c>
      <c r="B10" s="6" t="s">
        <v>45</v>
      </c>
      <c r="C10" s="7" t="s">
        <v>124</v>
      </c>
      <c r="D10" s="6" t="s">
        <v>124</v>
      </c>
      <c r="E10" s="6" t="s">
        <v>48</v>
      </c>
      <c r="F10" s="7" t="s">
        <v>125</v>
      </c>
      <c r="G10" s="7" t="s">
        <v>126</v>
      </c>
      <c r="H10" s="7" t="s">
        <v>127</v>
      </c>
      <c r="I10" s="7" t="s">
        <v>128</v>
      </c>
      <c r="J10" s="7" t="s">
        <v>129</v>
      </c>
      <c r="K10" s="7" t="s">
        <v>130</v>
      </c>
      <c r="L10" s="7" t="s">
        <v>131</v>
      </c>
      <c r="M10" s="6" t="s">
        <v>56</v>
      </c>
      <c r="N10" s="6"/>
      <c r="O10" s="7" t="s">
        <v>132</v>
      </c>
    </row>
    <row r="11" customFormat="false" ht="35.05" hidden="false" customHeight="false" outlineLevel="0" collapsed="false">
      <c r="A11" s="5" t="s">
        <v>133</v>
      </c>
      <c r="B11" s="6" t="s">
        <v>45</v>
      </c>
      <c r="C11" s="7" t="s">
        <v>124</v>
      </c>
      <c r="D11" s="6" t="s">
        <v>124</v>
      </c>
      <c r="E11" s="6" t="s">
        <v>48</v>
      </c>
      <c r="F11" s="7" t="s">
        <v>134</v>
      </c>
      <c r="G11" s="7" t="s">
        <v>135</v>
      </c>
      <c r="H11" s="7" t="s">
        <v>136</v>
      </c>
      <c r="I11" s="7" t="s">
        <v>137</v>
      </c>
      <c r="J11" s="7" t="s">
        <v>138</v>
      </c>
      <c r="K11" s="7" t="s">
        <v>139</v>
      </c>
      <c r="L11" s="7" t="s">
        <v>140</v>
      </c>
      <c r="M11" s="6" t="s">
        <v>56</v>
      </c>
      <c r="N11" s="6"/>
      <c r="O11" s="7" t="s">
        <v>141</v>
      </c>
    </row>
    <row r="12" customFormat="false" ht="23.85" hidden="false" customHeight="false" outlineLevel="0" collapsed="false">
      <c r="A12" s="5" t="s">
        <v>142</v>
      </c>
      <c r="B12" s="6" t="s">
        <v>45</v>
      </c>
      <c r="C12" s="7" t="s">
        <v>46</v>
      </c>
      <c r="D12" s="6" t="s">
        <v>47</v>
      </c>
      <c r="E12" s="6" t="s">
        <v>77</v>
      </c>
      <c r="F12" s="7" t="s">
        <v>143</v>
      </c>
      <c r="G12" s="7" t="s">
        <v>144</v>
      </c>
      <c r="H12" s="7" t="s">
        <v>70</v>
      </c>
      <c r="I12" s="7" t="s">
        <v>145</v>
      </c>
      <c r="J12" s="7" t="s">
        <v>146</v>
      </c>
      <c r="K12" s="7" t="s">
        <v>147</v>
      </c>
      <c r="L12" s="7" t="s">
        <v>148</v>
      </c>
      <c r="M12" s="6" t="s">
        <v>56</v>
      </c>
      <c r="N12" s="6"/>
      <c r="O12" s="7" t="s">
        <v>149</v>
      </c>
    </row>
    <row r="13" customFormat="false" ht="35.05" hidden="false" customHeight="false" outlineLevel="0" collapsed="false">
      <c r="A13" s="5" t="s">
        <v>150</v>
      </c>
      <c r="B13" s="6" t="s">
        <v>45</v>
      </c>
      <c r="C13" s="7" t="s">
        <v>46</v>
      </c>
      <c r="D13" s="6" t="s">
        <v>47</v>
      </c>
      <c r="E13" s="6" t="s">
        <v>151</v>
      </c>
      <c r="F13" s="7" t="s">
        <v>152</v>
      </c>
      <c r="G13" s="7" t="s">
        <v>153</v>
      </c>
      <c r="H13" s="7" t="s">
        <v>70</v>
      </c>
      <c r="I13" s="7" t="s">
        <v>154</v>
      </c>
      <c r="J13" s="7" t="s">
        <v>155</v>
      </c>
      <c r="K13" s="7" t="s">
        <v>156</v>
      </c>
      <c r="L13" s="7" t="s">
        <v>157</v>
      </c>
      <c r="M13" s="6" t="s">
        <v>56</v>
      </c>
      <c r="N13" s="6"/>
      <c r="O13" s="7" t="s">
        <v>158</v>
      </c>
    </row>
    <row r="14" customFormat="false" ht="46.25" hidden="false" customHeight="false" outlineLevel="0" collapsed="false">
      <c r="A14" s="5" t="s">
        <v>159</v>
      </c>
      <c r="B14" s="6" t="s">
        <v>45</v>
      </c>
      <c r="C14" s="7" t="s">
        <v>160</v>
      </c>
      <c r="D14" s="6" t="s">
        <v>47</v>
      </c>
      <c r="E14" s="6" t="s">
        <v>77</v>
      </c>
      <c r="F14" s="7" t="s">
        <v>161</v>
      </c>
      <c r="G14" s="7" t="s">
        <v>162</v>
      </c>
      <c r="H14" s="7" t="s">
        <v>163</v>
      </c>
      <c r="I14" s="7" t="s">
        <v>164</v>
      </c>
      <c r="J14" s="7" t="s">
        <v>165</v>
      </c>
      <c r="K14" s="7" t="s">
        <v>166</v>
      </c>
      <c r="L14" s="7" t="s">
        <v>167</v>
      </c>
      <c r="M14" s="6" t="s">
        <v>56</v>
      </c>
      <c r="N14" s="6"/>
      <c r="O14" s="7" t="s">
        <v>168</v>
      </c>
    </row>
    <row r="15" customFormat="false" ht="35.05" hidden="false" customHeight="false" outlineLevel="0" collapsed="false">
      <c r="A15" s="5" t="s">
        <v>169</v>
      </c>
      <c r="B15" s="6" t="s">
        <v>45</v>
      </c>
      <c r="C15" s="7" t="s">
        <v>105</v>
      </c>
      <c r="D15" s="6" t="s">
        <v>47</v>
      </c>
      <c r="E15" s="6" t="s">
        <v>151</v>
      </c>
      <c r="F15" s="7" t="s">
        <v>170</v>
      </c>
      <c r="G15" s="7" t="s">
        <v>171</v>
      </c>
      <c r="H15" s="7" t="s">
        <v>172</v>
      </c>
      <c r="I15" s="7" t="s">
        <v>173</v>
      </c>
      <c r="J15" s="7" t="s">
        <v>174</v>
      </c>
      <c r="K15" s="7" t="s">
        <v>175</v>
      </c>
      <c r="L15" s="7" t="s">
        <v>176</v>
      </c>
      <c r="M15" s="6" t="s">
        <v>56</v>
      </c>
      <c r="N15" s="6"/>
      <c r="O15" s="7" t="s">
        <v>177</v>
      </c>
    </row>
    <row r="16" customFormat="false" ht="35.05" hidden="false" customHeight="false" outlineLevel="0" collapsed="false">
      <c r="A16" s="5" t="s">
        <v>178</v>
      </c>
      <c r="B16" s="6" t="s">
        <v>45</v>
      </c>
      <c r="C16" s="7" t="s">
        <v>179</v>
      </c>
      <c r="D16" s="6" t="s">
        <v>47</v>
      </c>
      <c r="E16" s="6" t="s">
        <v>151</v>
      </c>
      <c r="F16" s="7" t="s">
        <v>180</v>
      </c>
      <c r="G16" s="7" t="s">
        <v>181</v>
      </c>
      <c r="H16" s="7" t="s">
        <v>163</v>
      </c>
      <c r="I16" s="7" t="s">
        <v>182</v>
      </c>
      <c r="J16" s="7" t="s">
        <v>183</v>
      </c>
      <c r="K16" s="7" t="s">
        <v>184</v>
      </c>
      <c r="L16" s="7" t="s">
        <v>185</v>
      </c>
      <c r="M16" s="6" t="s">
        <v>186</v>
      </c>
      <c r="N16" s="6" t="s">
        <v>187</v>
      </c>
      <c r="O16" s="7" t="s">
        <v>188</v>
      </c>
    </row>
    <row r="17" customFormat="false" ht="35.05" hidden="false" customHeight="false" outlineLevel="0" collapsed="false">
      <c r="A17" s="5" t="s">
        <v>189</v>
      </c>
      <c r="B17" s="6" t="s">
        <v>45</v>
      </c>
      <c r="C17" s="7" t="s">
        <v>160</v>
      </c>
      <c r="D17" s="6" t="s">
        <v>47</v>
      </c>
      <c r="E17" s="6" t="s">
        <v>151</v>
      </c>
      <c r="F17" s="7" t="s">
        <v>190</v>
      </c>
      <c r="G17" s="7" t="s">
        <v>191</v>
      </c>
      <c r="H17" s="7" t="s">
        <v>192</v>
      </c>
      <c r="I17" s="7" t="s">
        <v>193</v>
      </c>
      <c r="J17" s="7" t="s">
        <v>194</v>
      </c>
      <c r="K17" s="7" t="s">
        <v>195</v>
      </c>
      <c r="L17" s="7" t="s">
        <v>196</v>
      </c>
      <c r="M17" s="6" t="s">
        <v>186</v>
      </c>
      <c r="N17" s="6" t="s">
        <v>187</v>
      </c>
      <c r="O17" s="7" t="s">
        <v>197</v>
      </c>
    </row>
    <row r="18" customFormat="false" ht="23.85" hidden="false" customHeight="false" outlineLevel="0" collapsed="false">
      <c r="A18" s="5" t="s">
        <v>198</v>
      </c>
      <c r="B18" s="6" t="s">
        <v>199</v>
      </c>
      <c r="C18" s="7" t="s">
        <v>31</v>
      </c>
      <c r="D18" s="6" t="s">
        <v>124</v>
      </c>
      <c r="E18" s="6" t="s">
        <v>48</v>
      </c>
      <c r="F18" s="7" t="s">
        <v>200</v>
      </c>
      <c r="G18" s="7" t="s">
        <v>201</v>
      </c>
      <c r="H18" s="7" t="s">
        <v>136</v>
      </c>
      <c r="I18" s="7" t="s">
        <v>202</v>
      </c>
      <c r="J18" s="7" t="s">
        <v>203</v>
      </c>
      <c r="K18" s="7" t="s">
        <v>204</v>
      </c>
      <c r="L18" s="7" t="s">
        <v>205</v>
      </c>
      <c r="M18" s="6" t="s">
        <v>56</v>
      </c>
      <c r="N18" s="6"/>
      <c r="O18" s="7" t="s">
        <v>206</v>
      </c>
    </row>
    <row r="19" customFormat="false" ht="23.85" hidden="false" customHeight="false" outlineLevel="0" collapsed="false">
      <c r="A19" s="5" t="s">
        <v>207</v>
      </c>
      <c r="B19" s="6" t="s">
        <v>199</v>
      </c>
      <c r="C19" s="7" t="s">
        <v>31</v>
      </c>
      <c r="D19" s="6" t="s">
        <v>124</v>
      </c>
      <c r="E19" s="6" t="s">
        <v>48</v>
      </c>
      <c r="F19" s="7" t="s">
        <v>208</v>
      </c>
      <c r="G19" s="7" t="s">
        <v>209</v>
      </c>
      <c r="H19" s="7" t="s">
        <v>136</v>
      </c>
      <c r="I19" s="7" t="s">
        <v>210</v>
      </c>
      <c r="J19" s="7" t="s">
        <v>203</v>
      </c>
      <c r="K19" s="7" t="s">
        <v>211</v>
      </c>
      <c r="L19" s="7" t="s">
        <v>212</v>
      </c>
      <c r="M19" s="6" t="s">
        <v>56</v>
      </c>
      <c r="N19" s="6"/>
      <c r="O19" s="7" t="s">
        <v>213</v>
      </c>
    </row>
    <row r="20" customFormat="false" ht="23.85" hidden="false" customHeight="false" outlineLevel="0" collapsed="false">
      <c r="A20" s="5" t="s">
        <v>214</v>
      </c>
      <c r="B20" s="6" t="s">
        <v>199</v>
      </c>
      <c r="C20" s="7" t="s">
        <v>31</v>
      </c>
      <c r="D20" s="6" t="s">
        <v>124</v>
      </c>
      <c r="E20" s="6" t="s">
        <v>77</v>
      </c>
      <c r="F20" s="7" t="s">
        <v>215</v>
      </c>
      <c r="G20" s="7" t="s">
        <v>216</v>
      </c>
      <c r="H20" s="7" t="s">
        <v>136</v>
      </c>
      <c r="I20" s="7" t="s">
        <v>217</v>
      </c>
      <c r="J20" s="7" t="s">
        <v>203</v>
      </c>
      <c r="K20" s="7" t="s">
        <v>218</v>
      </c>
      <c r="L20" s="7" t="s">
        <v>218</v>
      </c>
      <c r="M20" s="6" t="s">
        <v>56</v>
      </c>
      <c r="N20" s="6"/>
      <c r="O20" s="7" t="s">
        <v>219</v>
      </c>
    </row>
    <row r="21" customFormat="false" ht="46.25" hidden="false" customHeight="false" outlineLevel="0" collapsed="false">
      <c r="A21" s="5" t="s">
        <v>220</v>
      </c>
      <c r="B21" s="6" t="s">
        <v>199</v>
      </c>
      <c r="C21" s="7" t="s">
        <v>59</v>
      </c>
      <c r="D21" s="6" t="s">
        <v>47</v>
      </c>
      <c r="E21" s="6" t="s">
        <v>77</v>
      </c>
      <c r="F21" s="7" t="s">
        <v>221</v>
      </c>
      <c r="G21" s="7" t="s">
        <v>222</v>
      </c>
      <c r="H21" s="7" t="s">
        <v>70</v>
      </c>
      <c r="I21" s="7" t="s">
        <v>223</v>
      </c>
      <c r="J21" s="7" t="s">
        <v>224</v>
      </c>
      <c r="K21" s="7" t="s">
        <v>225</v>
      </c>
      <c r="L21" s="7" t="s">
        <v>226</v>
      </c>
      <c r="M21" s="6" t="s">
        <v>56</v>
      </c>
      <c r="N21" s="6"/>
      <c r="O21" s="7" t="s">
        <v>227</v>
      </c>
    </row>
    <row r="22" customFormat="false" ht="23.85" hidden="false" customHeight="false" outlineLevel="0" collapsed="false">
      <c r="A22" s="5" t="s">
        <v>228</v>
      </c>
      <c r="B22" s="6" t="s">
        <v>199</v>
      </c>
      <c r="C22" s="7" t="s">
        <v>105</v>
      </c>
      <c r="D22" s="6" t="s">
        <v>124</v>
      </c>
      <c r="E22" s="6" t="s">
        <v>77</v>
      </c>
      <c r="F22" s="7" t="s">
        <v>229</v>
      </c>
      <c r="G22" s="7" t="s">
        <v>230</v>
      </c>
      <c r="H22" s="7" t="s">
        <v>136</v>
      </c>
      <c r="I22" s="7" t="s">
        <v>231</v>
      </c>
      <c r="J22" s="7" t="s">
        <v>232</v>
      </c>
      <c r="K22" s="7" t="s">
        <v>233</v>
      </c>
      <c r="L22" s="7" t="s">
        <v>234</v>
      </c>
      <c r="M22" s="6" t="s">
        <v>56</v>
      </c>
      <c r="N22" s="6"/>
      <c r="O22" s="7" t="s">
        <v>235</v>
      </c>
    </row>
    <row r="23" customFormat="false" ht="23.85" hidden="false" customHeight="false" outlineLevel="0" collapsed="false">
      <c r="A23" s="5" t="s">
        <v>236</v>
      </c>
      <c r="B23" s="6" t="s">
        <v>199</v>
      </c>
      <c r="C23" s="7" t="s">
        <v>105</v>
      </c>
      <c r="D23" s="6" t="s">
        <v>124</v>
      </c>
      <c r="E23" s="6" t="s">
        <v>77</v>
      </c>
      <c r="F23" s="7" t="s">
        <v>237</v>
      </c>
      <c r="G23" s="7" t="s">
        <v>238</v>
      </c>
      <c r="H23" s="7" t="s">
        <v>136</v>
      </c>
      <c r="I23" s="7" t="s">
        <v>239</v>
      </c>
      <c r="J23" s="7" t="s">
        <v>240</v>
      </c>
      <c r="K23" s="7" t="s">
        <v>241</v>
      </c>
      <c r="L23" s="7" t="s">
        <v>242</v>
      </c>
      <c r="M23" s="6" t="s">
        <v>56</v>
      </c>
      <c r="N23" s="6"/>
      <c r="O23" s="7" t="s">
        <v>243</v>
      </c>
    </row>
    <row r="24" customFormat="false" ht="46.25" hidden="false" customHeight="false" outlineLevel="0" collapsed="false">
      <c r="A24" s="5" t="s">
        <v>244</v>
      </c>
      <c r="B24" s="6" t="s">
        <v>199</v>
      </c>
      <c r="C24" s="7" t="s">
        <v>46</v>
      </c>
      <c r="D24" s="6" t="s">
        <v>47</v>
      </c>
      <c r="E24" s="6" t="s">
        <v>77</v>
      </c>
      <c r="F24" s="7" t="s">
        <v>245</v>
      </c>
      <c r="G24" s="7" t="s">
        <v>246</v>
      </c>
      <c r="H24" s="7" t="s">
        <v>70</v>
      </c>
      <c r="I24" s="7" t="s">
        <v>247</v>
      </c>
      <c r="J24" s="7" t="s">
        <v>248</v>
      </c>
      <c r="K24" s="7" t="s">
        <v>249</v>
      </c>
      <c r="L24" s="7" t="s">
        <v>250</v>
      </c>
      <c r="M24" s="6" t="s">
        <v>251</v>
      </c>
      <c r="N24" s="6" t="s">
        <v>252</v>
      </c>
      <c r="O24" s="7" t="s">
        <v>253</v>
      </c>
    </row>
    <row r="25" customFormat="false" ht="68.65" hidden="false" customHeight="false" outlineLevel="0" collapsed="false">
      <c r="A25" s="5" t="s">
        <v>254</v>
      </c>
      <c r="B25" s="6" t="s">
        <v>199</v>
      </c>
      <c r="C25" s="7" t="s">
        <v>255</v>
      </c>
      <c r="D25" s="6" t="s">
        <v>47</v>
      </c>
      <c r="E25" s="6" t="s">
        <v>48</v>
      </c>
      <c r="F25" s="7" t="s">
        <v>256</v>
      </c>
      <c r="G25" s="7" t="s">
        <v>257</v>
      </c>
      <c r="H25" s="7" t="s">
        <v>163</v>
      </c>
      <c r="I25" s="7" t="s">
        <v>258</v>
      </c>
      <c r="J25" s="7" t="s">
        <v>259</v>
      </c>
      <c r="K25" s="7" t="s">
        <v>260</v>
      </c>
      <c r="L25" s="7" t="s">
        <v>261</v>
      </c>
      <c r="M25" s="6" t="s">
        <v>251</v>
      </c>
      <c r="N25" s="6" t="s">
        <v>262</v>
      </c>
      <c r="O25" s="7" t="s">
        <v>263</v>
      </c>
    </row>
    <row r="26" customFormat="false" ht="35.05" hidden="false" customHeight="false" outlineLevel="0" collapsed="false">
      <c r="A26" s="5" t="s">
        <v>264</v>
      </c>
      <c r="B26" s="6" t="s">
        <v>199</v>
      </c>
      <c r="C26" s="7" t="s">
        <v>255</v>
      </c>
      <c r="D26" s="6" t="s">
        <v>47</v>
      </c>
      <c r="E26" s="6" t="s">
        <v>48</v>
      </c>
      <c r="F26" s="7" t="s">
        <v>265</v>
      </c>
      <c r="G26" s="7" t="s">
        <v>266</v>
      </c>
      <c r="H26" s="7" t="s">
        <v>163</v>
      </c>
      <c r="I26" s="7" t="s">
        <v>267</v>
      </c>
      <c r="J26" s="7" t="s">
        <v>268</v>
      </c>
      <c r="K26" s="7" t="s">
        <v>269</v>
      </c>
      <c r="L26" s="7" t="s">
        <v>270</v>
      </c>
      <c r="M26" s="6" t="s">
        <v>251</v>
      </c>
      <c r="N26" s="6" t="s">
        <v>262</v>
      </c>
      <c r="O26" s="7" t="s">
        <v>271</v>
      </c>
    </row>
    <row r="27" customFormat="false" ht="35.05" hidden="false" customHeight="false" outlineLevel="0" collapsed="false">
      <c r="A27" s="5" t="s">
        <v>272</v>
      </c>
      <c r="B27" s="6" t="s">
        <v>199</v>
      </c>
      <c r="C27" s="7" t="s">
        <v>86</v>
      </c>
      <c r="D27" s="6" t="s">
        <v>47</v>
      </c>
      <c r="E27" s="6" t="s">
        <v>77</v>
      </c>
      <c r="F27" s="7" t="s">
        <v>273</v>
      </c>
      <c r="G27" s="7" t="s">
        <v>274</v>
      </c>
      <c r="H27" s="7" t="s">
        <v>70</v>
      </c>
      <c r="I27" s="7" t="s">
        <v>275</v>
      </c>
      <c r="J27" s="7" t="s">
        <v>276</v>
      </c>
      <c r="K27" s="7" t="s">
        <v>277</v>
      </c>
      <c r="L27" s="7" t="s">
        <v>278</v>
      </c>
      <c r="M27" s="6" t="s">
        <v>251</v>
      </c>
      <c r="N27" s="6" t="s">
        <v>262</v>
      </c>
      <c r="O27" s="7" t="s">
        <v>279</v>
      </c>
    </row>
    <row r="28" customFormat="false" ht="23.85" hidden="false" customHeight="false" outlineLevel="0" collapsed="false">
      <c r="A28" s="5" t="s">
        <v>280</v>
      </c>
      <c r="B28" s="6" t="s">
        <v>199</v>
      </c>
      <c r="C28" s="7" t="s">
        <v>46</v>
      </c>
      <c r="D28" s="6" t="s">
        <v>47</v>
      </c>
      <c r="E28" s="6" t="s">
        <v>151</v>
      </c>
      <c r="F28" s="7" t="s">
        <v>281</v>
      </c>
      <c r="G28" s="7" t="s">
        <v>282</v>
      </c>
      <c r="H28" s="7" t="s">
        <v>70</v>
      </c>
      <c r="I28" s="7" t="s">
        <v>283</v>
      </c>
      <c r="J28" s="7" t="s">
        <v>284</v>
      </c>
      <c r="K28" s="7" t="s">
        <v>285</v>
      </c>
      <c r="L28" s="7" t="s">
        <v>286</v>
      </c>
      <c r="M28" s="6" t="s">
        <v>251</v>
      </c>
      <c r="N28" s="6" t="s">
        <v>287</v>
      </c>
      <c r="O28" s="7" t="s">
        <v>288</v>
      </c>
    </row>
    <row r="29" customFormat="false" ht="35.05" hidden="false" customHeight="false" outlineLevel="0" collapsed="false">
      <c r="A29" s="5" t="s">
        <v>289</v>
      </c>
      <c r="B29" s="6" t="s">
        <v>199</v>
      </c>
      <c r="C29" s="7" t="s">
        <v>59</v>
      </c>
      <c r="D29" s="6" t="s">
        <v>47</v>
      </c>
      <c r="E29" s="6" t="s">
        <v>151</v>
      </c>
      <c r="F29" s="7" t="s">
        <v>290</v>
      </c>
      <c r="G29" s="7" t="s">
        <v>291</v>
      </c>
      <c r="H29" s="7" t="s">
        <v>70</v>
      </c>
      <c r="I29" s="7" t="s">
        <v>292</v>
      </c>
      <c r="J29" s="7" t="s">
        <v>293</v>
      </c>
      <c r="K29" s="7" t="s">
        <v>294</v>
      </c>
      <c r="L29" s="7" t="s">
        <v>295</v>
      </c>
      <c r="M29" s="6" t="s">
        <v>251</v>
      </c>
      <c r="N29" s="6" t="s">
        <v>296</v>
      </c>
      <c r="O29" s="7" t="s">
        <v>297</v>
      </c>
    </row>
    <row r="30" customFormat="false" ht="23.85" hidden="false" customHeight="false" outlineLevel="0" collapsed="false">
      <c r="A30" s="5" t="s">
        <v>298</v>
      </c>
      <c r="B30" s="6" t="s">
        <v>199</v>
      </c>
      <c r="C30" s="7" t="s">
        <v>105</v>
      </c>
      <c r="D30" s="6" t="s">
        <v>124</v>
      </c>
      <c r="E30" s="6" t="s">
        <v>77</v>
      </c>
      <c r="F30" s="7" t="s">
        <v>299</v>
      </c>
      <c r="G30" s="7" t="s">
        <v>300</v>
      </c>
      <c r="H30" s="7" t="s">
        <v>136</v>
      </c>
      <c r="I30" s="7" t="s">
        <v>301</v>
      </c>
      <c r="J30" s="7" t="s">
        <v>302</v>
      </c>
      <c r="K30" s="7" t="s">
        <v>303</v>
      </c>
      <c r="L30" s="7" t="s">
        <v>304</v>
      </c>
      <c r="M30" s="6" t="s">
        <v>251</v>
      </c>
      <c r="N30" s="6" t="s">
        <v>262</v>
      </c>
      <c r="O30" s="7" t="s">
        <v>305</v>
      </c>
    </row>
    <row r="31" customFormat="false" ht="35.05" hidden="false" customHeight="false" outlineLevel="0" collapsed="false">
      <c r="A31" s="5" t="s">
        <v>306</v>
      </c>
      <c r="B31" s="6" t="s">
        <v>307</v>
      </c>
      <c r="C31" s="7" t="s">
        <v>59</v>
      </c>
      <c r="D31" s="6" t="s">
        <v>47</v>
      </c>
      <c r="E31" s="6" t="s">
        <v>48</v>
      </c>
      <c r="F31" s="7" t="s">
        <v>308</v>
      </c>
      <c r="G31" s="7" t="s">
        <v>309</v>
      </c>
      <c r="H31" s="7" t="s">
        <v>70</v>
      </c>
      <c r="I31" s="7" t="s">
        <v>310</v>
      </c>
      <c r="J31" s="7" t="s">
        <v>311</v>
      </c>
      <c r="K31" s="7" t="s">
        <v>312</v>
      </c>
      <c r="L31" s="7" t="s">
        <v>313</v>
      </c>
      <c r="M31" s="6" t="s">
        <v>56</v>
      </c>
      <c r="N31" s="6"/>
      <c r="O31" s="7" t="s">
        <v>314</v>
      </c>
    </row>
    <row r="32" customFormat="false" ht="35.05" hidden="false" customHeight="false" outlineLevel="0" collapsed="false">
      <c r="A32" s="5" t="s">
        <v>315</v>
      </c>
      <c r="B32" s="6" t="s">
        <v>307</v>
      </c>
      <c r="C32" s="7" t="s">
        <v>59</v>
      </c>
      <c r="D32" s="6" t="s">
        <v>47</v>
      </c>
      <c r="E32" s="6" t="s">
        <v>77</v>
      </c>
      <c r="F32" s="7" t="s">
        <v>316</v>
      </c>
      <c r="G32" s="7" t="s">
        <v>317</v>
      </c>
      <c r="H32" s="7" t="s">
        <v>70</v>
      </c>
      <c r="I32" s="7" t="s">
        <v>318</v>
      </c>
      <c r="J32" s="7" t="s">
        <v>319</v>
      </c>
      <c r="K32" s="7" t="s">
        <v>320</v>
      </c>
      <c r="L32" s="7" t="s">
        <v>321</v>
      </c>
      <c r="M32" s="6" t="s">
        <v>56</v>
      </c>
      <c r="N32" s="6"/>
      <c r="O32" s="7" t="s">
        <v>322</v>
      </c>
    </row>
    <row r="33" customFormat="false" ht="23.85" hidden="false" customHeight="false" outlineLevel="0" collapsed="false">
      <c r="A33" s="5" t="s">
        <v>323</v>
      </c>
      <c r="B33" s="6" t="s">
        <v>307</v>
      </c>
      <c r="C33" s="7" t="s">
        <v>124</v>
      </c>
      <c r="D33" s="6" t="s">
        <v>124</v>
      </c>
      <c r="E33" s="6" t="s">
        <v>48</v>
      </c>
      <c r="F33" s="7" t="s">
        <v>324</v>
      </c>
      <c r="G33" s="7" t="s">
        <v>325</v>
      </c>
      <c r="H33" s="7" t="s">
        <v>70</v>
      </c>
      <c r="I33" s="7" t="s">
        <v>326</v>
      </c>
      <c r="J33" s="7" t="s">
        <v>327</v>
      </c>
      <c r="K33" s="7" t="s">
        <v>328</v>
      </c>
      <c r="L33" s="7" t="s">
        <v>329</v>
      </c>
      <c r="M33" s="6" t="s">
        <v>56</v>
      </c>
      <c r="N33" s="6"/>
      <c r="O33" s="7" t="s">
        <v>330</v>
      </c>
    </row>
    <row r="34" customFormat="false" ht="23.85" hidden="false" customHeight="false" outlineLevel="0" collapsed="false">
      <c r="A34" s="5" t="s">
        <v>331</v>
      </c>
      <c r="B34" s="6" t="s">
        <v>307</v>
      </c>
      <c r="C34" s="7" t="s">
        <v>124</v>
      </c>
      <c r="D34" s="6" t="s">
        <v>124</v>
      </c>
      <c r="E34" s="6" t="s">
        <v>48</v>
      </c>
      <c r="F34" s="7" t="s">
        <v>332</v>
      </c>
      <c r="G34" s="7" t="s">
        <v>333</v>
      </c>
      <c r="H34" s="7" t="s">
        <v>70</v>
      </c>
      <c r="I34" s="7" t="s">
        <v>334</v>
      </c>
      <c r="J34" s="7" t="s">
        <v>335</v>
      </c>
      <c r="K34" s="7" t="s">
        <v>336</v>
      </c>
      <c r="L34" s="7" t="s">
        <v>329</v>
      </c>
      <c r="M34" s="6" t="s">
        <v>56</v>
      </c>
      <c r="N34" s="6"/>
      <c r="O34" s="7" t="s">
        <v>337</v>
      </c>
    </row>
    <row r="35" customFormat="false" ht="35.05" hidden="false" customHeight="false" outlineLevel="0" collapsed="false">
      <c r="A35" s="5" t="s">
        <v>338</v>
      </c>
      <c r="B35" s="6" t="s">
        <v>307</v>
      </c>
      <c r="C35" s="7" t="s">
        <v>124</v>
      </c>
      <c r="D35" s="6" t="s">
        <v>124</v>
      </c>
      <c r="E35" s="6" t="s">
        <v>77</v>
      </c>
      <c r="F35" s="7" t="s">
        <v>339</v>
      </c>
      <c r="G35" s="7" t="s">
        <v>340</v>
      </c>
      <c r="H35" s="7" t="s">
        <v>136</v>
      </c>
      <c r="I35" s="7" t="s">
        <v>341</v>
      </c>
      <c r="J35" s="7" t="s">
        <v>342</v>
      </c>
      <c r="K35" s="7" t="s">
        <v>343</v>
      </c>
      <c r="L35" s="7" t="s">
        <v>344</v>
      </c>
      <c r="M35" s="6" t="s">
        <v>251</v>
      </c>
      <c r="N35" s="6" t="s">
        <v>345</v>
      </c>
      <c r="O35" s="7" t="s">
        <v>346</v>
      </c>
    </row>
    <row r="36" customFormat="false" ht="23.85" hidden="false" customHeight="false" outlineLevel="0" collapsed="false">
      <c r="A36" s="5" t="s">
        <v>347</v>
      </c>
      <c r="B36" s="6" t="s">
        <v>307</v>
      </c>
      <c r="C36" s="7" t="s">
        <v>124</v>
      </c>
      <c r="D36" s="6" t="s">
        <v>124</v>
      </c>
      <c r="E36" s="6" t="s">
        <v>77</v>
      </c>
      <c r="F36" s="7" t="s">
        <v>348</v>
      </c>
      <c r="G36" s="7" t="s">
        <v>349</v>
      </c>
      <c r="H36" s="7" t="s">
        <v>136</v>
      </c>
      <c r="I36" s="7" t="s">
        <v>350</v>
      </c>
      <c r="J36" s="7" t="s">
        <v>351</v>
      </c>
      <c r="K36" s="7" t="s">
        <v>352</v>
      </c>
      <c r="L36" s="7" t="s">
        <v>353</v>
      </c>
      <c r="M36" s="6" t="s">
        <v>56</v>
      </c>
      <c r="N36" s="6"/>
      <c r="O36" s="7" t="s">
        <v>354</v>
      </c>
    </row>
    <row r="37" customFormat="false" ht="23.85" hidden="false" customHeight="false" outlineLevel="0" collapsed="false">
      <c r="A37" s="5" t="s">
        <v>355</v>
      </c>
      <c r="B37" s="6" t="s">
        <v>307</v>
      </c>
      <c r="C37" s="7" t="s">
        <v>124</v>
      </c>
      <c r="D37" s="6" t="s">
        <v>124</v>
      </c>
      <c r="E37" s="6" t="s">
        <v>77</v>
      </c>
      <c r="F37" s="7" t="s">
        <v>356</v>
      </c>
      <c r="G37" s="7" t="s">
        <v>357</v>
      </c>
      <c r="H37" s="7" t="s">
        <v>136</v>
      </c>
      <c r="I37" s="7" t="s">
        <v>358</v>
      </c>
      <c r="J37" s="7" t="s">
        <v>203</v>
      </c>
      <c r="K37" s="7" t="s">
        <v>352</v>
      </c>
      <c r="L37" s="7" t="s">
        <v>359</v>
      </c>
      <c r="M37" s="6" t="s">
        <v>56</v>
      </c>
      <c r="N37" s="6"/>
      <c r="O37" s="7" t="s">
        <v>360</v>
      </c>
    </row>
    <row r="38" customFormat="false" ht="23.85" hidden="false" customHeight="false" outlineLevel="0" collapsed="false">
      <c r="A38" s="5" t="s">
        <v>361</v>
      </c>
      <c r="B38" s="6" t="s">
        <v>307</v>
      </c>
      <c r="C38" s="7" t="s">
        <v>124</v>
      </c>
      <c r="D38" s="6" t="s">
        <v>124</v>
      </c>
      <c r="E38" s="6" t="s">
        <v>48</v>
      </c>
      <c r="F38" s="7" t="s">
        <v>362</v>
      </c>
      <c r="G38" s="7" t="s">
        <v>363</v>
      </c>
      <c r="H38" s="7" t="s">
        <v>136</v>
      </c>
      <c r="I38" s="7" t="s">
        <v>364</v>
      </c>
      <c r="J38" s="7" t="s">
        <v>365</v>
      </c>
      <c r="K38" s="7" t="s">
        <v>366</v>
      </c>
      <c r="L38" s="7" t="s">
        <v>367</v>
      </c>
      <c r="M38" s="6" t="s">
        <v>251</v>
      </c>
      <c r="N38" s="6" t="s">
        <v>368</v>
      </c>
      <c r="O38" s="7" t="s">
        <v>369</v>
      </c>
    </row>
    <row r="39" customFormat="false" ht="23.85" hidden="false" customHeight="false" outlineLevel="0" collapsed="false">
      <c r="A39" s="5" t="s">
        <v>370</v>
      </c>
      <c r="B39" s="6" t="s">
        <v>307</v>
      </c>
      <c r="C39" s="7" t="s">
        <v>124</v>
      </c>
      <c r="D39" s="6" t="s">
        <v>124</v>
      </c>
      <c r="E39" s="6" t="s">
        <v>48</v>
      </c>
      <c r="F39" s="7" t="s">
        <v>371</v>
      </c>
      <c r="G39" s="7" t="s">
        <v>372</v>
      </c>
      <c r="H39" s="7" t="s">
        <v>136</v>
      </c>
      <c r="I39" s="7" t="s">
        <v>373</v>
      </c>
      <c r="J39" s="7" t="s">
        <v>374</v>
      </c>
      <c r="K39" s="7" t="s">
        <v>352</v>
      </c>
      <c r="L39" s="7" t="s">
        <v>375</v>
      </c>
      <c r="M39" s="6" t="s">
        <v>251</v>
      </c>
      <c r="N39" s="6" t="s">
        <v>368</v>
      </c>
      <c r="O39" s="7" t="s">
        <v>376</v>
      </c>
    </row>
    <row r="40" customFormat="false" ht="35.05" hidden="false" customHeight="false" outlineLevel="0" collapsed="false">
      <c r="A40" s="5" t="s">
        <v>377</v>
      </c>
      <c r="B40" s="6" t="s">
        <v>307</v>
      </c>
      <c r="C40" s="7" t="s">
        <v>124</v>
      </c>
      <c r="D40" s="6" t="s">
        <v>124</v>
      </c>
      <c r="E40" s="6" t="s">
        <v>77</v>
      </c>
      <c r="F40" s="7" t="s">
        <v>378</v>
      </c>
      <c r="G40" s="7" t="s">
        <v>379</v>
      </c>
      <c r="H40" s="7" t="s">
        <v>136</v>
      </c>
      <c r="I40" s="7" t="s">
        <v>380</v>
      </c>
      <c r="J40" s="7" t="s">
        <v>381</v>
      </c>
      <c r="K40" s="7" t="s">
        <v>382</v>
      </c>
      <c r="L40" s="7" t="s">
        <v>383</v>
      </c>
      <c r="M40" s="6" t="s">
        <v>251</v>
      </c>
      <c r="N40" s="6" t="s">
        <v>368</v>
      </c>
      <c r="O40" s="7" t="s">
        <v>384</v>
      </c>
    </row>
    <row r="41" customFormat="false" ht="23.85" hidden="false" customHeight="false" outlineLevel="0" collapsed="false">
      <c r="A41" s="5" t="s">
        <v>385</v>
      </c>
      <c r="B41" s="6" t="s">
        <v>307</v>
      </c>
      <c r="C41" s="7" t="s">
        <v>386</v>
      </c>
      <c r="D41" s="6" t="s">
        <v>47</v>
      </c>
      <c r="E41" s="6" t="s">
        <v>48</v>
      </c>
      <c r="F41" s="7" t="s">
        <v>387</v>
      </c>
      <c r="G41" s="7" t="s">
        <v>388</v>
      </c>
      <c r="H41" s="7" t="s">
        <v>163</v>
      </c>
      <c r="I41" s="7" t="s">
        <v>389</v>
      </c>
      <c r="J41" s="7" t="s">
        <v>390</v>
      </c>
      <c r="K41" s="7" t="s">
        <v>391</v>
      </c>
      <c r="L41" s="7" t="s">
        <v>392</v>
      </c>
      <c r="M41" s="6" t="s">
        <v>56</v>
      </c>
      <c r="N41" s="6"/>
      <c r="O41" s="7" t="s">
        <v>393</v>
      </c>
    </row>
    <row r="42" customFormat="false" ht="23.85" hidden="false" customHeight="false" outlineLevel="0" collapsed="false">
      <c r="A42" s="5" t="s">
        <v>394</v>
      </c>
      <c r="B42" s="6" t="s">
        <v>307</v>
      </c>
      <c r="C42" s="7" t="s">
        <v>105</v>
      </c>
      <c r="D42" s="6" t="s">
        <v>47</v>
      </c>
      <c r="E42" s="6" t="s">
        <v>48</v>
      </c>
      <c r="F42" s="7" t="s">
        <v>395</v>
      </c>
      <c r="G42" s="7" t="s">
        <v>396</v>
      </c>
      <c r="H42" s="7" t="s">
        <v>397</v>
      </c>
      <c r="I42" s="7" t="s">
        <v>398</v>
      </c>
      <c r="J42" s="7" t="s">
        <v>399</v>
      </c>
      <c r="K42" s="7" t="s">
        <v>400</v>
      </c>
      <c r="L42" s="7" t="s">
        <v>401</v>
      </c>
      <c r="M42" s="6" t="s">
        <v>56</v>
      </c>
      <c r="N42" s="6"/>
      <c r="O42" s="7" t="s">
        <v>402</v>
      </c>
    </row>
    <row r="43" customFormat="false" ht="35.05" hidden="false" customHeight="false" outlineLevel="0" collapsed="false">
      <c r="A43" s="5" t="s">
        <v>403</v>
      </c>
      <c r="B43" s="6" t="s">
        <v>307</v>
      </c>
      <c r="C43" s="7" t="s">
        <v>31</v>
      </c>
      <c r="D43" s="6" t="s">
        <v>47</v>
      </c>
      <c r="E43" s="6" t="s">
        <v>77</v>
      </c>
      <c r="F43" s="7" t="s">
        <v>404</v>
      </c>
      <c r="G43" s="7" t="s">
        <v>405</v>
      </c>
      <c r="H43" s="7" t="s">
        <v>406</v>
      </c>
      <c r="I43" s="7" t="s">
        <v>407</v>
      </c>
      <c r="J43" s="7" t="s">
        <v>408</v>
      </c>
      <c r="K43" s="7" t="s">
        <v>409</v>
      </c>
      <c r="L43" s="7" t="s">
        <v>410</v>
      </c>
      <c r="M43" s="6" t="s">
        <v>56</v>
      </c>
      <c r="N43" s="6"/>
      <c r="O43" s="7" t="s">
        <v>411</v>
      </c>
    </row>
    <row r="44" customFormat="false" ht="35.05" hidden="false" customHeight="false" outlineLevel="0" collapsed="false">
      <c r="A44" s="5" t="s">
        <v>412</v>
      </c>
      <c r="B44" s="6" t="s">
        <v>307</v>
      </c>
      <c r="C44" s="7" t="s">
        <v>31</v>
      </c>
      <c r="D44" s="6" t="s">
        <v>124</v>
      </c>
      <c r="E44" s="6" t="s">
        <v>48</v>
      </c>
      <c r="F44" s="7" t="s">
        <v>413</v>
      </c>
      <c r="G44" s="7" t="s">
        <v>414</v>
      </c>
      <c r="H44" s="7" t="s">
        <v>136</v>
      </c>
      <c r="I44" s="7" t="s">
        <v>415</v>
      </c>
      <c r="J44" s="7" t="s">
        <v>416</v>
      </c>
      <c r="K44" s="7" t="s">
        <v>417</v>
      </c>
      <c r="L44" s="7" t="s">
        <v>418</v>
      </c>
      <c r="M44" s="6" t="s">
        <v>251</v>
      </c>
      <c r="N44" s="6" t="s">
        <v>419</v>
      </c>
      <c r="O44" s="7" t="s">
        <v>420</v>
      </c>
    </row>
    <row r="45" customFormat="false" ht="35.05" hidden="false" customHeight="false" outlineLevel="0" collapsed="false">
      <c r="A45" s="5" t="s">
        <v>421</v>
      </c>
      <c r="B45" s="6" t="s">
        <v>307</v>
      </c>
      <c r="C45" s="7" t="s">
        <v>105</v>
      </c>
      <c r="D45" s="6" t="s">
        <v>47</v>
      </c>
      <c r="E45" s="6" t="s">
        <v>48</v>
      </c>
      <c r="F45" s="7" t="s">
        <v>422</v>
      </c>
      <c r="G45" s="7" t="s">
        <v>423</v>
      </c>
      <c r="H45" s="7" t="s">
        <v>406</v>
      </c>
      <c r="I45" s="7" t="s">
        <v>424</v>
      </c>
      <c r="J45" s="7" t="s">
        <v>425</v>
      </c>
      <c r="K45" s="7" t="s">
        <v>426</v>
      </c>
      <c r="L45" s="7" t="s">
        <v>427</v>
      </c>
      <c r="M45" s="6" t="s">
        <v>56</v>
      </c>
      <c r="N45" s="6"/>
      <c r="O45" s="7" t="s">
        <v>428</v>
      </c>
    </row>
    <row r="46" customFormat="false" ht="23.85" hidden="false" customHeight="false" outlineLevel="0" collapsed="false">
      <c r="A46" s="5" t="s">
        <v>429</v>
      </c>
      <c r="B46" s="6" t="s">
        <v>307</v>
      </c>
      <c r="C46" s="7" t="s">
        <v>59</v>
      </c>
      <c r="D46" s="6" t="s">
        <v>47</v>
      </c>
      <c r="E46" s="6" t="s">
        <v>77</v>
      </c>
      <c r="F46" s="7" t="s">
        <v>430</v>
      </c>
      <c r="G46" s="7" t="s">
        <v>431</v>
      </c>
      <c r="H46" s="7" t="s">
        <v>70</v>
      </c>
      <c r="I46" s="7" t="s">
        <v>432</v>
      </c>
      <c r="J46" s="7" t="s">
        <v>433</v>
      </c>
      <c r="K46" s="7" t="s">
        <v>434</v>
      </c>
      <c r="L46" s="7" t="s">
        <v>435</v>
      </c>
      <c r="M46" s="6" t="s">
        <v>251</v>
      </c>
      <c r="N46" s="6" t="s">
        <v>436</v>
      </c>
      <c r="O46" s="7" t="s">
        <v>437</v>
      </c>
    </row>
    <row r="47" customFormat="false" ht="35.05" hidden="false" customHeight="false" outlineLevel="0" collapsed="false">
      <c r="A47" s="5" t="s">
        <v>438</v>
      </c>
      <c r="B47" s="6" t="s">
        <v>307</v>
      </c>
      <c r="C47" s="7" t="s">
        <v>105</v>
      </c>
      <c r="D47" s="6" t="s">
        <v>47</v>
      </c>
      <c r="E47" s="6" t="s">
        <v>151</v>
      </c>
      <c r="F47" s="7" t="s">
        <v>439</v>
      </c>
      <c r="G47" s="7" t="s">
        <v>440</v>
      </c>
      <c r="H47" s="7" t="s">
        <v>441</v>
      </c>
      <c r="I47" s="7" t="s">
        <v>442</v>
      </c>
      <c r="J47" s="7" t="s">
        <v>443</v>
      </c>
      <c r="K47" s="7" t="s">
        <v>444</v>
      </c>
      <c r="L47" s="7" t="s">
        <v>445</v>
      </c>
      <c r="M47" s="6" t="s">
        <v>56</v>
      </c>
      <c r="N47" s="6"/>
      <c r="O47" s="7" t="s">
        <v>446</v>
      </c>
    </row>
    <row r="48" customFormat="false" ht="35.05" hidden="false" customHeight="false" outlineLevel="0" collapsed="false">
      <c r="A48" s="5" t="s">
        <v>447</v>
      </c>
      <c r="B48" s="6" t="s">
        <v>307</v>
      </c>
      <c r="C48" s="7" t="s">
        <v>86</v>
      </c>
      <c r="D48" s="6" t="s">
        <v>47</v>
      </c>
      <c r="E48" s="6" t="s">
        <v>151</v>
      </c>
      <c r="F48" s="7" t="s">
        <v>448</v>
      </c>
      <c r="G48" s="7" t="s">
        <v>449</v>
      </c>
      <c r="H48" s="7" t="s">
        <v>450</v>
      </c>
      <c r="I48" s="7" t="s">
        <v>451</v>
      </c>
      <c r="J48" s="7" t="s">
        <v>452</v>
      </c>
      <c r="K48" s="7" t="s">
        <v>453</v>
      </c>
      <c r="L48" s="7" t="s">
        <v>454</v>
      </c>
      <c r="M48" s="6" t="s">
        <v>56</v>
      </c>
      <c r="N48" s="6"/>
      <c r="O48" s="7" t="s">
        <v>455</v>
      </c>
    </row>
    <row r="49" customFormat="false" ht="23.85" hidden="false" customHeight="false" outlineLevel="0" collapsed="false">
      <c r="A49" s="5" t="s">
        <v>456</v>
      </c>
      <c r="B49" s="6" t="s">
        <v>307</v>
      </c>
      <c r="C49" s="7" t="s">
        <v>105</v>
      </c>
      <c r="D49" s="6" t="s">
        <v>124</v>
      </c>
      <c r="E49" s="6" t="s">
        <v>77</v>
      </c>
      <c r="F49" s="7" t="s">
        <v>457</v>
      </c>
      <c r="G49" s="7" t="s">
        <v>458</v>
      </c>
      <c r="H49" s="7" t="s">
        <v>136</v>
      </c>
      <c r="I49" s="7" t="s">
        <v>459</v>
      </c>
      <c r="J49" s="7" t="s">
        <v>460</v>
      </c>
      <c r="K49" s="7" t="s">
        <v>461</v>
      </c>
      <c r="L49" s="7" t="s">
        <v>462</v>
      </c>
      <c r="M49" s="6" t="s">
        <v>56</v>
      </c>
      <c r="N49" s="6"/>
      <c r="O49" s="7" t="s">
        <v>463</v>
      </c>
    </row>
    <row r="50" customFormat="false" ht="35.05" hidden="false" customHeight="false" outlineLevel="0" collapsed="false">
      <c r="A50" s="5" t="s">
        <v>464</v>
      </c>
      <c r="B50" s="6" t="s">
        <v>307</v>
      </c>
      <c r="C50" s="7" t="s">
        <v>31</v>
      </c>
      <c r="D50" s="6" t="s">
        <v>124</v>
      </c>
      <c r="E50" s="6" t="s">
        <v>77</v>
      </c>
      <c r="F50" s="7" t="s">
        <v>465</v>
      </c>
      <c r="G50" s="7" t="s">
        <v>466</v>
      </c>
      <c r="H50" s="7" t="s">
        <v>136</v>
      </c>
      <c r="I50" s="7" t="s">
        <v>467</v>
      </c>
      <c r="J50" s="7" t="s">
        <v>351</v>
      </c>
      <c r="K50" s="7" t="s">
        <v>468</v>
      </c>
      <c r="L50" s="7" t="s">
        <v>469</v>
      </c>
      <c r="M50" s="6" t="s">
        <v>251</v>
      </c>
      <c r="N50" s="6" t="s">
        <v>419</v>
      </c>
      <c r="O50" s="7" t="s">
        <v>470</v>
      </c>
    </row>
    <row r="51" customFormat="false" ht="35.05" hidden="false" customHeight="false" outlineLevel="0" collapsed="false">
      <c r="A51" s="5" t="s">
        <v>471</v>
      </c>
      <c r="B51" s="6" t="s">
        <v>307</v>
      </c>
      <c r="C51" s="7" t="s">
        <v>124</v>
      </c>
      <c r="D51" s="6" t="s">
        <v>124</v>
      </c>
      <c r="E51" s="6" t="s">
        <v>151</v>
      </c>
      <c r="F51" s="7" t="s">
        <v>472</v>
      </c>
      <c r="G51" s="7" t="s">
        <v>473</v>
      </c>
      <c r="H51" s="7" t="s">
        <v>70</v>
      </c>
      <c r="I51" s="7" t="s">
        <v>474</v>
      </c>
      <c r="J51" s="7" t="s">
        <v>475</v>
      </c>
      <c r="K51" s="7" t="s">
        <v>476</v>
      </c>
      <c r="L51" s="7" t="s">
        <v>477</v>
      </c>
      <c r="M51" s="6" t="s">
        <v>186</v>
      </c>
      <c r="N51" s="6" t="s">
        <v>187</v>
      </c>
      <c r="O51" s="7" t="s">
        <v>478</v>
      </c>
    </row>
    <row r="52" customFormat="false" ht="35.05" hidden="false" customHeight="false" outlineLevel="0" collapsed="false">
      <c r="A52" s="5" t="s">
        <v>479</v>
      </c>
      <c r="B52" s="6" t="s">
        <v>307</v>
      </c>
      <c r="C52" s="7" t="s">
        <v>31</v>
      </c>
      <c r="D52" s="6" t="s">
        <v>124</v>
      </c>
      <c r="E52" s="6" t="s">
        <v>151</v>
      </c>
      <c r="F52" s="7" t="s">
        <v>480</v>
      </c>
      <c r="G52" s="7" t="s">
        <v>481</v>
      </c>
      <c r="H52" s="7" t="s">
        <v>136</v>
      </c>
      <c r="I52" s="7" t="s">
        <v>482</v>
      </c>
      <c r="J52" s="7" t="s">
        <v>483</v>
      </c>
      <c r="K52" s="7" t="s">
        <v>484</v>
      </c>
      <c r="L52" s="7" t="s">
        <v>485</v>
      </c>
      <c r="M52" s="6" t="s">
        <v>251</v>
      </c>
      <c r="N52" s="6" t="s">
        <v>486</v>
      </c>
      <c r="O52" s="7" t="s">
        <v>487</v>
      </c>
    </row>
    <row r="53" customFormat="false" ht="46.25" hidden="false" customHeight="false" outlineLevel="0" collapsed="false">
      <c r="A53" s="5" t="s">
        <v>488</v>
      </c>
      <c r="B53" s="6" t="s">
        <v>307</v>
      </c>
      <c r="C53" s="7" t="s">
        <v>489</v>
      </c>
      <c r="D53" s="6" t="s">
        <v>47</v>
      </c>
      <c r="E53" s="6" t="s">
        <v>77</v>
      </c>
      <c r="F53" s="7" t="s">
        <v>490</v>
      </c>
      <c r="G53" s="7" t="s">
        <v>491</v>
      </c>
      <c r="H53" s="7" t="s">
        <v>163</v>
      </c>
      <c r="I53" s="7" t="s">
        <v>492</v>
      </c>
      <c r="J53" s="7" t="s">
        <v>493</v>
      </c>
      <c r="K53" s="7" t="s">
        <v>494</v>
      </c>
      <c r="L53" s="7" t="s">
        <v>495</v>
      </c>
      <c r="M53" s="6" t="s">
        <v>251</v>
      </c>
      <c r="N53" s="6" t="s">
        <v>496</v>
      </c>
      <c r="O53" s="7" t="s">
        <v>497</v>
      </c>
    </row>
    <row r="54" customFormat="false" ht="35.05" hidden="false" customHeight="false" outlineLevel="0" collapsed="false">
      <c r="A54" s="5" t="s">
        <v>498</v>
      </c>
      <c r="B54" s="6" t="s">
        <v>499</v>
      </c>
      <c r="C54" s="7" t="s">
        <v>86</v>
      </c>
      <c r="D54" s="6" t="s">
        <v>47</v>
      </c>
      <c r="E54" s="6" t="s">
        <v>48</v>
      </c>
      <c r="F54" s="7" t="s">
        <v>500</v>
      </c>
      <c r="G54" s="7" t="s">
        <v>501</v>
      </c>
      <c r="H54" s="7" t="s">
        <v>502</v>
      </c>
      <c r="I54" s="7" t="s">
        <v>503</v>
      </c>
      <c r="J54" s="7" t="s">
        <v>504</v>
      </c>
      <c r="K54" s="7" t="s">
        <v>505</v>
      </c>
      <c r="L54" s="7" t="s">
        <v>506</v>
      </c>
      <c r="M54" s="6" t="s">
        <v>56</v>
      </c>
      <c r="N54" s="6"/>
      <c r="O54" s="7" t="s">
        <v>507</v>
      </c>
    </row>
    <row r="55" customFormat="false" ht="35.05" hidden="false" customHeight="false" outlineLevel="0" collapsed="false">
      <c r="A55" s="5" t="s">
        <v>508</v>
      </c>
      <c r="B55" s="6" t="s">
        <v>499</v>
      </c>
      <c r="C55" s="7" t="s">
        <v>105</v>
      </c>
      <c r="D55" s="6" t="s">
        <v>47</v>
      </c>
      <c r="E55" s="6" t="s">
        <v>48</v>
      </c>
      <c r="F55" s="7" t="s">
        <v>509</v>
      </c>
      <c r="G55" s="7" t="s">
        <v>510</v>
      </c>
      <c r="H55" s="7" t="s">
        <v>163</v>
      </c>
      <c r="I55" s="7" t="s">
        <v>511</v>
      </c>
      <c r="J55" s="7" t="s">
        <v>512</v>
      </c>
      <c r="K55" s="7" t="s">
        <v>513</v>
      </c>
      <c r="L55" s="7" t="s">
        <v>514</v>
      </c>
      <c r="M55" s="6" t="s">
        <v>251</v>
      </c>
      <c r="N55" s="6" t="s">
        <v>515</v>
      </c>
      <c r="O55" s="7" t="s">
        <v>516</v>
      </c>
    </row>
    <row r="56" customFormat="false" ht="35.05" hidden="false" customHeight="false" outlineLevel="0" collapsed="false">
      <c r="A56" s="5" t="s">
        <v>517</v>
      </c>
      <c r="B56" s="6" t="s">
        <v>499</v>
      </c>
      <c r="C56" s="7" t="s">
        <v>105</v>
      </c>
      <c r="D56" s="6" t="s">
        <v>124</v>
      </c>
      <c r="E56" s="6" t="s">
        <v>48</v>
      </c>
      <c r="F56" s="7" t="s">
        <v>518</v>
      </c>
      <c r="G56" s="7" t="s">
        <v>519</v>
      </c>
      <c r="H56" s="7" t="s">
        <v>136</v>
      </c>
      <c r="I56" s="7" t="s">
        <v>520</v>
      </c>
      <c r="J56" s="7" t="s">
        <v>351</v>
      </c>
      <c r="K56" s="7" t="s">
        <v>521</v>
      </c>
      <c r="L56" s="7" t="s">
        <v>522</v>
      </c>
      <c r="M56" s="6" t="s">
        <v>251</v>
      </c>
      <c r="N56" s="6" t="s">
        <v>515</v>
      </c>
      <c r="O56" s="7" t="s">
        <v>523</v>
      </c>
    </row>
    <row r="57" customFormat="false" ht="23.85" hidden="false" customHeight="false" outlineLevel="0" collapsed="false">
      <c r="A57" s="5" t="s">
        <v>524</v>
      </c>
      <c r="B57" s="6" t="s">
        <v>499</v>
      </c>
      <c r="C57" s="7" t="s">
        <v>105</v>
      </c>
      <c r="D57" s="6" t="s">
        <v>47</v>
      </c>
      <c r="E57" s="6" t="s">
        <v>48</v>
      </c>
      <c r="F57" s="7" t="s">
        <v>525</v>
      </c>
      <c r="G57" s="7" t="s">
        <v>526</v>
      </c>
      <c r="H57" s="7" t="s">
        <v>163</v>
      </c>
      <c r="I57" s="7" t="s">
        <v>527</v>
      </c>
      <c r="J57" s="7" t="s">
        <v>528</v>
      </c>
      <c r="K57" s="7" t="s">
        <v>529</v>
      </c>
      <c r="L57" s="7" t="s">
        <v>530</v>
      </c>
      <c r="M57" s="6" t="s">
        <v>251</v>
      </c>
      <c r="N57" s="6" t="s">
        <v>531</v>
      </c>
      <c r="O57" s="7" t="s">
        <v>532</v>
      </c>
    </row>
    <row r="58" customFormat="false" ht="35.05" hidden="false" customHeight="false" outlineLevel="0" collapsed="false">
      <c r="A58" s="5" t="s">
        <v>533</v>
      </c>
      <c r="B58" s="6" t="s">
        <v>499</v>
      </c>
      <c r="C58" s="7" t="s">
        <v>105</v>
      </c>
      <c r="D58" s="6" t="s">
        <v>124</v>
      </c>
      <c r="E58" s="6" t="s">
        <v>77</v>
      </c>
      <c r="F58" s="7" t="s">
        <v>534</v>
      </c>
      <c r="G58" s="7" t="s">
        <v>519</v>
      </c>
      <c r="H58" s="7" t="s">
        <v>136</v>
      </c>
      <c r="I58" s="7" t="s">
        <v>535</v>
      </c>
      <c r="J58" s="7" t="s">
        <v>351</v>
      </c>
      <c r="K58" s="7" t="s">
        <v>536</v>
      </c>
      <c r="L58" s="7" t="s">
        <v>537</v>
      </c>
      <c r="M58" s="6" t="s">
        <v>251</v>
      </c>
      <c r="N58" s="6" t="s">
        <v>531</v>
      </c>
      <c r="O58" s="7" t="s">
        <v>538</v>
      </c>
    </row>
    <row r="59" customFormat="false" ht="46.25" hidden="false" customHeight="false" outlineLevel="0" collapsed="false">
      <c r="A59" s="5" t="s">
        <v>539</v>
      </c>
      <c r="B59" s="6" t="s">
        <v>499</v>
      </c>
      <c r="C59" s="7" t="s">
        <v>540</v>
      </c>
      <c r="D59" s="6" t="s">
        <v>47</v>
      </c>
      <c r="E59" s="6" t="s">
        <v>48</v>
      </c>
      <c r="F59" s="7" t="s">
        <v>541</v>
      </c>
      <c r="G59" s="7" t="s">
        <v>542</v>
      </c>
      <c r="H59" s="7" t="s">
        <v>543</v>
      </c>
      <c r="I59" s="7" t="s">
        <v>544</v>
      </c>
      <c r="J59" s="7" t="s">
        <v>545</v>
      </c>
      <c r="K59" s="7" t="s">
        <v>546</v>
      </c>
      <c r="L59" s="7" t="s">
        <v>547</v>
      </c>
      <c r="M59" s="6" t="s">
        <v>251</v>
      </c>
      <c r="N59" s="6" t="s">
        <v>548</v>
      </c>
      <c r="O59" s="7" t="s">
        <v>549</v>
      </c>
    </row>
    <row r="60" customFormat="false" ht="35.05" hidden="false" customHeight="false" outlineLevel="0" collapsed="false">
      <c r="A60" s="5" t="s">
        <v>550</v>
      </c>
      <c r="B60" s="6" t="s">
        <v>499</v>
      </c>
      <c r="C60" s="7" t="s">
        <v>540</v>
      </c>
      <c r="D60" s="6" t="s">
        <v>124</v>
      </c>
      <c r="E60" s="6" t="s">
        <v>48</v>
      </c>
      <c r="F60" s="7" t="s">
        <v>551</v>
      </c>
      <c r="G60" s="7" t="s">
        <v>519</v>
      </c>
      <c r="H60" s="7" t="s">
        <v>136</v>
      </c>
      <c r="I60" s="7" t="s">
        <v>552</v>
      </c>
      <c r="J60" s="7" t="s">
        <v>351</v>
      </c>
      <c r="K60" s="7" t="s">
        <v>553</v>
      </c>
      <c r="L60" s="7" t="s">
        <v>554</v>
      </c>
      <c r="M60" s="6" t="s">
        <v>251</v>
      </c>
      <c r="N60" s="6" t="s">
        <v>548</v>
      </c>
      <c r="O60" s="7" t="s">
        <v>555</v>
      </c>
    </row>
    <row r="61" customFormat="false" ht="35.05" hidden="false" customHeight="false" outlineLevel="0" collapsed="false">
      <c r="A61" s="5" t="s">
        <v>556</v>
      </c>
      <c r="B61" s="6" t="s">
        <v>499</v>
      </c>
      <c r="C61" s="7" t="s">
        <v>540</v>
      </c>
      <c r="D61" s="6" t="s">
        <v>47</v>
      </c>
      <c r="E61" s="6" t="s">
        <v>77</v>
      </c>
      <c r="F61" s="7" t="s">
        <v>557</v>
      </c>
      <c r="G61" s="7" t="s">
        <v>558</v>
      </c>
      <c r="H61" s="7" t="s">
        <v>559</v>
      </c>
      <c r="I61" s="7" t="s">
        <v>560</v>
      </c>
      <c r="J61" s="7" t="s">
        <v>561</v>
      </c>
      <c r="K61" s="7" t="s">
        <v>562</v>
      </c>
      <c r="L61" s="7" t="s">
        <v>563</v>
      </c>
      <c r="M61" s="6" t="s">
        <v>56</v>
      </c>
      <c r="N61" s="6"/>
      <c r="O61" s="7" t="s">
        <v>564</v>
      </c>
    </row>
    <row r="62" customFormat="false" ht="57.45" hidden="false" customHeight="false" outlineLevel="0" collapsed="false">
      <c r="A62" s="5" t="s">
        <v>565</v>
      </c>
      <c r="B62" s="6" t="s">
        <v>499</v>
      </c>
      <c r="C62" s="7" t="s">
        <v>540</v>
      </c>
      <c r="D62" s="6" t="s">
        <v>47</v>
      </c>
      <c r="E62" s="6" t="s">
        <v>48</v>
      </c>
      <c r="F62" s="7" t="s">
        <v>566</v>
      </c>
      <c r="G62" s="7" t="s">
        <v>567</v>
      </c>
      <c r="H62" s="7" t="s">
        <v>568</v>
      </c>
      <c r="I62" s="7" t="s">
        <v>569</v>
      </c>
      <c r="J62" s="7" t="s">
        <v>570</v>
      </c>
      <c r="K62" s="7" t="s">
        <v>571</v>
      </c>
      <c r="L62" s="7" t="s">
        <v>572</v>
      </c>
      <c r="M62" s="6" t="s">
        <v>251</v>
      </c>
      <c r="N62" s="6" t="s">
        <v>573</v>
      </c>
      <c r="O62" s="7" t="s">
        <v>574</v>
      </c>
    </row>
    <row r="63" customFormat="false" ht="35.05" hidden="false" customHeight="false" outlineLevel="0" collapsed="false">
      <c r="A63" s="5" t="s">
        <v>575</v>
      </c>
      <c r="B63" s="6" t="s">
        <v>499</v>
      </c>
      <c r="C63" s="7" t="s">
        <v>540</v>
      </c>
      <c r="D63" s="6" t="s">
        <v>124</v>
      </c>
      <c r="E63" s="6" t="s">
        <v>48</v>
      </c>
      <c r="F63" s="7" t="s">
        <v>576</v>
      </c>
      <c r="G63" s="7" t="s">
        <v>519</v>
      </c>
      <c r="H63" s="7" t="s">
        <v>136</v>
      </c>
      <c r="I63" s="7" t="s">
        <v>577</v>
      </c>
      <c r="J63" s="7" t="s">
        <v>578</v>
      </c>
      <c r="K63" s="7" t="s">
        <v>579</v>
      </c>
      <c r="L63" s="7" t="s">
        <v>580</v>
      </c>
      <c r="M63" s="6" t="s">
        <v>251</v>
      </c>
      <c r="N63" s="6" t="s">
        <v>573</v>
      </c>
      <c r="O63" s="7" t="s">
        <v>581</v>
      </c>
    </row>
    <row r="64" customFormat="false" ht="35.05" hidden="false" customHeight="false" outlineLevel="0" collapsed="false">
      <c r="A64" s="5" t="s">
        <v>582</v>
      </c>
      <c r="B64" s="6" t="s">
        <v>499</v>
      </c>
      <c r="C64" s="7" t="s">
        <v>31</v>
      </c>
      <c r="D64" s="6" t="s">
        <v>47</v>
      </c>
      <c r="E64" s="6" t="s">
        <v>48</v>
      </c>
      <c r="F64" s="7" t="s">
        <v>583</v>
      </c>
      <c r="G64" s="7" t="s">
        <v>584</v>
      </c>
      <c r="H64" s="7" t="s">
        <v>585</v>
      </c>
      <c r="I64" s="7" t="s">
        <v>586</v>
      </c>
      <c r="J64" s="7" t="s">
        <v>587</v>
      </c>
      <c r="K64" s="7" t="s">
        <v>588</v>
      </c>
      <c r="L64" s="7" t="s">
        <v>589</v>
      </c>
      <c r="M64" s="6" t="s">
        <v>251</v>
      </c>
      <c r="N64" s="6" t="s">
        <v>590</v>
      </c>
      <c r="O64" s="7" t="s">
        <v>591</v>
      </c>
    </row>
    <row r="65" customFormat="false" ht="35.05" hidden="false" customHeight="false" outlineLevel="0" collapsed="false">
      <c r="A65" s="5" t="s">
        <v>592</v>
      </c>
      <c r="B65" s="6" t="s">
        <v>499</v>
      </c>
      <c r="C65" s="7" t="s">
        <v>31</v>
      </c>
      <c r="D65" s="6" t="s">
        <v>47</v>
      </c>
      <c r="E65" s="6" t="s">
        <v>77</v>
      </c>
      <c r="F65" s="7" t="s">
        <v>593</v>
      </c>
      <c r="G65" s="7" t="s">
        <v>594</v>
      </c>
      <c r="H65" s="7" t="s">
        <v>595</v>
      </c>
      <c r="I65" s="7" t="s">
        <v>596</v>
      </c>
      <c r="J65" s="7" t="s">
        <v>597</v>
      </c>
      <c r="K65" s="7" t="s">
        <v>598</v>
      </c>
      <c r="L65" s="7" t="s">
        <v>599</v>
      </c>
      <c r="M65" s="6" t="s">
        <v>56</v>
      </c>
      <c r="N65" s="6"/>
      <c r="O65" s="7" t="s">
        <v>600</v>
      </c>
    </row>
    <row r="66" customFormat="false" ht="46.25" hidden="false" customHeight="false" outlineLevel="0" collapsed="false">
      <c r="A66" s="5" t="s">
        <v>601</v>
      </c>
      <c r="B66" s="6" t="s">
        <v>499</v>
      </c>
      <c r="C66" s="7" t="s">
        <v>31</v>
      </c>
      <c r="D66" s="6" t="s">
        <v>47</v>
      </c>
      <c r="E66" s="6" t="s">
        <v>77</v>
      </c>
      <c r="F66" s="7" t="s">
        <v>602</v>
      </c>
      <c r="G66" s="7" t="s">
        <v>603</v>
      </c>
      <c r="H66" s="7" t="s">
        <v>604</v>
      </c>
      <c r="I66" s="7" t="s">
        <v>596</v>
      </c>
      <c r="J66" s="7" t="s">
        <v>597</v>
      </c>
      <c r="K66" s="7" t="s">
        <v>605</v>
      </c>
      <c r="L66" s="7" t="s">
        <v>606</v>
      </c>
      <c r="M66" s="6" t="s">
        <v>251</v>
      </c>
      <c r="N66" s="6" t="s">
        <v>607</v>
      </c>
      <c r="O66" s="7" t="s">
        <v>608</v>
      </c>
    </row>
    <row r="67" customFormat="false" ht="35.05" hidden="false" customHeight="false" outlineLevel="0" collapsed="false">
      <c r="A67" s="5" t="s">
        <v>609</v>
      </c>
      <c r="B67" s="6" t="s">
        <v>499</v>
      </c>
      <c r="C67" s="7" t="s">
        <v>31</v>
      </c>
      <c r="D67" s="6" t="s">
        <v>47</v>
      </c>
      <c r="E67" s="6" t="s">
        <v>77</v>
      </c>
      <c r="F67" s="7" t="s">
        <v>610</v>
      </c>
      <c r="G67" s="7" t="s">
        <v>611</v>
      </c>
      <c r="H67" s="7" t="s">
        <v>612</v>
      </c>
      <c r="I67" s="7" t="s">
        <v>613</v>
      </c>
      <c r="J67" s="7" t="s">
        <v>614</v>
      </c>
      <c r="K67" s="7" t="s">
        <v>615</v>
      </c>
      <c r="L67" s="7" t="s">
        <v>616</v>
      </c>
      <c r="M67" s="6" t="s">
        <v>56</v>
      </c>
      <c r="N67" s="6"/>
      <c r="O67" s="7" t="s">
        <v>617</v>
      </c>
    </row>
    <row r="68" customFormat="false" ht="35.05" hidden="false" customHeight="false" outlineLevel="0" collapsed="false">
      <c r="A68" s="5" t="s">
        <v>618</v>
      </c>
      <c r="B68" s="6" t="s">
        <v>499</v>
      </c>
      <c r="C68" s="7" t="s">
        <v>105</v>
      </c>
      <c r="D68" s="6" t="s">
        <v>47</v>
      </c>
      <c r="E68" s="6" t="s">
        <v>77</v>
      </c>
      <c r="F68" s="7" t="s">
        <v>619</v>
      </c>
      <c r="G68" s="7" t="s">
        <v>620</v>
      </c>
      <c r="H68" s="7" t="s">
        <v>163</v>
      </c>
      <c r="I68" s="7" t="s">
        <v>459</v>
      </c>
      <c r="J68" s="7" t="s">
        <v>621</v>
      </c>
      <c r="K68" s="7" t="s">
        <v>622</v>
      </c>
      <c r="L68" s="7" t="s">
        <v>623</v>
      </c>
      <c r="M68" s="6" t="s">
        <v>56</v>
      </c>
      <c r="N68" s="6"/>
      <c r="O68" s="7" t="s">
        <v>624</v>
      </c>
    </row>
    <row r="69" customFormat="false" ht="46.25" hidden="false" customHeight="false" outlineLevel="0" collapsed="false">
      <c r="A69" s="5" t="s">
        <v>625</v>
      </c>
      <c r="B69" s="6" t="s">
        <v>499</v>
      </c>
      <c r="C69" s="7" t="s">
        <v>105</v>
      </c>
      <c r="D69" s="6" t="s">
        <v>47</v>
      </c>
      <c r="E69" s="6" t="s">
        <v>48</v>
      </c>
      <c r="F69" s="7" t="s">
        <v>626</v>
      </c>
      <c r="G69" s="7" t="s">
        <v>627</v>
      </c>
      <c r="H69" s="7" t="s">
        <v>163</v>
      </c>
      <c r="I69" s="7" t="s">
        <v>628</v>
      </c>
      <c r="J69" s="7" t="s">
        <v>629</v>
      </c>
      <c r="K69" s="7" t="s">
        <v>630</v>
      </c>
      <c r="L69" s="7" t="s">
        <v>631</v>
      </c>
      <c r="M69" s="6" t="s">
        <v>251</v>
      </c>
      <c r="N69" s="6" t="s">
        <v>632</v>
      </c>
      <c r="O69" s="7" t="s">
        <v>633</v>
      </c>
    </row>
    <row r="70" customFormat="false" ht="35.05" hidden="false" customHeight="false" outlineLevel="0" collapsed="false">
      <c r="A70" s="5" t="s">
        <v>634</v>
      </c>
      <c r="B70" s="6" t="s">
        <v>499</v>
      </c>
      <c r="C70" s="7" t="s">
        <v>386</v>
      </c>
      <c r="D70" s="6" t="s">
        <v>47</v>
      </c>
      <c r="E70" s="6" t="s">
        <v>77</v>
      </c>
      <c r="F70" s="7" t="s">
        <v>635</v>
      </c>
      <c r="G70" s="7" t="s">
        <v>636</v>
      </c>
      <c r="H70" s="7" t="s">
        <v>637</v>
      </c>
      <c r="I70" s="7" t="s">
        <v>638</v>
      </c>
      <c r="J70" s="7" t="s">
        <v>639</v>
      </c>
      <c r="K70" s="7" t="s">
        <v>640</v>
      </c>
      <c r="L70" s="7" t="s">
        <v>641</v>
      </c>
      <c r="M70" s="6" t="s">
        <v>251</v>
      </c>
      <c r="N70" s="6" t="s">
        <v>642</v>
      </c>
      <c r="O70" s="7" t="s">
        <v>643</v>
      </c>
    </row>
    <row r="71" customFormat="false" ht="35.05" hidden="false" customHeight="false" outlineLevel="0" collapsed="false">
      <c r="A71" s="5" t="s">
        <v>644</v>
      </c>
      <c r="B71" s="6" t="s">
        <v>499</v>
      </c>
      <c r="C71" s="7" t="s">
        <v>645</v>
      </c>
      <c r="D71" s="6" t="s">
        <v>47</v>
      </c>
      <c r="E71" s="6" t="s">
        <v>77</v>
      </c>
      <c r="F71" s="7" t="s">
        <v>646</v>
      </c>
      <c r="G71" s="7" t="s">
        <v>647</v>
      </c>
      <c r="H71" s="7" t="s">
        <v>648</v>
      </c>
      <c r="I71" s="7" t="s">
        <v>649</v>
      </c>
      <c r="J71" s="7" t="s">
        <v>650</v>
      </c>
      <c r="K71" s="7" t="s">
        <v>651</v>
      </c>
      <c r="L71" s="7" t="s">
        <v>652</v>
      </c>
      <c r="M71" s="6" t="s">
        <v>251</v>
      </c>
      <c r="N71" s="6" t="s">
        <v>653</v>
      </c>
      <c r="O71" s="7" t="s">
        <v>654</v>
      </c>
    </row>
    <row r="72" customFormat="false" ht="35.05" hidden="false" customHeight="false" outlineLevel="0" collapsed="false">
      <c r="A72" s="5" t="s">
        <v>655</v>
      </c>
      <c r="B72" s="6" t="s">
        <v>499</v>
      </c>
      <c r="C72" s="7" t="s">
        <v>645</v>
      </c>
      <c r="D72" s="6" t="s">
        <v>47</v>
      </c>
      <c r="E72" s="6" t="s">
        <v>77</v>
      </c>
      <c r="F72" s="7" t="s">
        <v>656</v>
      </c>
      <c r="G72" s="7" t="s">
        <v>657</v>
      </c>
      <c r="H72" s="7" t="s">
        <v>658</v>
      </c>
      <c r="I72" s="7" t="s">
        <v>659</v>
      </c>
      <c r="J72" s="7" t="s">
        <v>660</v>
      </c>
      <c r="K72" s="7" t="s">
        <v>661</v>
      </c>
      <c r="L72" s="7" t="s">
        <v>662</v>
      </c>
      <c r="M72" s="6" t="s">
        <v>251</v>
      </c>
      <c r="N72" s="6" t="s">
        <v>653</v>
      </c>
      <c r="O72" s="7" t="s">
        <v>663</v>
      </c>
    </row>
    <row r="73" customFormat="false" ht="57.45" hidden="false" customHeight="false" outlineLevel="0" collapsed="false">
      <c r="A73" s="5" t="s">
        <v>664</v>
      </c>
      <c r="B73" s="6" t="s">
        <v>499</v>
      </c>
      <c r="C73" s="7" t="s">
        <v>86</v>
      </c>
      <c r="D73" s="6" t="s">
        <v>47</v>
      </c>
      <c r="E73" s="6" t="s">
        <v>48</v>
      </c>
      <c r="F73" s="7" t="s">
        <v>665</v>
      </c>
      <c r="G73" s="7" t="s">
        <v>666</v>
      </c>
      <c r="H73" s="7" t="s">
        <v>667</v>
      </c>
      <c r="I73" s="7" t="s">
        <v>668</v>
      </c>
      <c r="J73" s="7" t="s">
        <v>669</v>
      </c>
      <c r="K73" s="7" t="s">
        <v>670</v>
      </c>
      <c r="L73" s="7" t="s">
        <v>671</v>
      </c>
      <c r="M73" s="6" t="s">
        <v>251</v>
      </c>
      <c r="N73" s="6" t="s">
        <v>672</v>
      </c>
      <c r="O73" s="7" t="s">
        <v>673</v>
      </c>
    </row>
    <row r="74" customFormat="false" ht="35.05" hidden="false" customHeight="false" outlineLevel="0" collapsed="false">
      <c r="A74" s="5" t="s">
        <v>674</v>
      </c>
      <c r="B74" s="6" t="s">
        <v>499</v>
      </c>
      <c r="C74" s="7" t="s">
        <v>255</v>
      </c>
      <c r="D74" s="6" t="s">
        <v>47</v>
      </c>
      <c r="E74" s="6" t="s">
        <v>77</v>
      </c>
      <c r="F74" s="7" t="s">
        <v>675</v>
      </c>
      <c r="G74" s="7" t="s">
        <v>676</v>
      </c>
      <c r="H74" s="7" t="s">
        <v>677</v>
      </c>
      <c r="I74" s="7" t="s">
        <v>678</v>
      </c>
      <c r="J74" s="7" t="s">
        <v>679</v>
      </c>
      <c r="K74" s="7" t="s">
        <v>680</v>
      </c>
      <c r="L74" s="7" t="s">
        <v>681</v>
      </c>
      <c r="M74" s="6" t="s">
        <v>56</v>
      </c>
      <c r="N74" s="6"/>
      <c r="O74" s="7"/>
    </row>
    <row r="75" customFormat="false" ht="35.05" hidden="false" customHeight="false" outlineLevel="0" collapsed="false">
      <c r="A75" s="5" t="s">
        <v>682</v>
      </c>
      <c r="B75" s="6" t="s">
        <v>499</v>
      </c>
      <c r="C75" s="7" t="s">
        <v>105</v>
      </c>
      <c r="D75" s="6" t="s">
        <v>47</v>
      </c>
      <c r="E75" s="6" t="s">
        <v>48</v>
      </c>
      <c r="F75" s="7" t="s">
        <v>683</v>
      </c>
      <c r="G75" s="7" t="s">
        <v>684</v>
      </c>
      <c r="H75" s="7" t="s">
        <v>685</v>
      </c>
      <c r="I75" s="7" t="s">
        <v>686</v>
      </c>
      <c r="J75" s="7" t="s">
        <v>687</v>
      </c>
      <c r="K75" s="7" t="s">
        <v>688</v>
      </c>
      <c r="L75" s="7" t="s">
        <v>689</v>
      </c>
      <c r="M75" s="6" t="s">
        <v>251</v>
      </c>
      <c r="N75" s="6" t="s">
        <v>690</v>
      </c>
      <c r="O75" s="7" t="s">
        <v>691</v>
      </c>
    </row>
    <row r="76" customFormat="false" ht="35.05" hidden="false" customHeight="false" outlineLevel="0" collapsed="false">
      <c r="A76" s="5" t="s">
        <v>692</v>
      </c>
      <c r="B76" s="6" t="s">
        <v>499</v>
      </c>
      <c r="C76" s="7" t="s">
        <v>31</v>
      </c>
      <c r="D76" s="6" t="s">
        <v>47</v>
      </c>
      <c r="E76" s="6" t="s">
        <v>151</v>
      </c>
      <c r="F76" s="7" t="s">
        <v>693</v>
      </c>
      <c r="G76" s="7" t="s">
        <v>694</v>
      </c>
      <c r="H76" s="7" t="s">
        <v>695</v>
      </c>
      <c r="I76" s="7" t="s">
        <v>696</v>
      </c>
      <c r="J76" s="7" t="s">
        <v>697</v>
      </c>
      <c r="K76" s="7" t="s">
        <v>698</v>
      </c>
      <c r="L76" s="7" t="s">
        <v>699</v>
      </c>
      <c r="M76" s="6" t="s">
        <v>251</v>
      </c>
      <c r="N76" s="6" t="s">
        <v>700</v>
      </c>
      <c r="O76" s="7" t="s">
        <v>701</v>
      </c>
    </row>
    <row r="77" customFormat="false" ht="35.05" hidden="false" customHeight="false" outlineLevel="0" collapsed="false">
      <c r="A77" s="5" t="s">
        <v>702</v>
      </c>
      <c r="B77" s="6" t="s">
        <v>499</v>
      </c>
      <c r="C77" s="7" t="s">
        <v>105</v>
      </c>
      <c r="D77" s="6" t="s">
        <v>47</v>
      </c>
      <c r="E77" s="6" t="s">
        <v>151</v>
      </c>
      <c r="F77" s="7" t="s">
        <v>703</v>
      </c>
      <c r="G77" s="7" t="s">
        <v>704</v>
      </c>
      <c r="H77" s="7" t="s">
        <v>705</v>
      </c>
      <c r="I77" s="7" t="s">
        <v>706</v>
      </c>
      <c r="J77" s="7" t="s">
        <v>707</v>
      </c>
      <c r="K77" s="7" t="s">
        <v>708</v>
      </c>
      <c r="L77" s="7" t="s">
        <v>709</v>
      </c>
      <c r="M77" s="6" t="s">
        <v>251</v>
      </c>
      <c r="N77" s="6" t="s">
        <v>710</v>
      </c>
      <c r="O77" s="7" t="s">
        <v>711</v>
      </c>
    </row>
    <row r="78" customFormat="false" ht="57.45" hidden="false" customHeight="false" outlineLevel="0" collapsed="false">
      <c r="A78" s="5" t="s">
        <v>712</v>
      </c>
      <c r="B78" s="6" t="s">
        <v>499</v>
      </c>
      <c r="C78" s="7" t="s">
        <v>31</v>
      </c>
      <c r="D78" s="6" t="s">
        <v>47</v>
      </c>
      <c r="E78" s="6" t="s">
        <v>151</v>
      </c>
      <c r="F78" s="7" t="s">
        <v>713</v>
      </c>
      <c r="G78" s="7" t="s">
        <v>714</v>
      </c>
      <c r="H78" s="7" t="s">
        <v>70</v>
      </c>
      <c r="I78" s="7" t="s">
        <v>715</v>
      </c>
      <c r="J78" s="7" t="s">
        <v>716</v>
      </c>
      <c r="K78" s="7" t="s">
        <v>717</v>
      </c>
      <c r="L78" s="7" t="s">
        <v>718</v>
      </c>
      <c r="M78" s="6" t="s">
        <v>719</v>
      </c>
      <c r="N78" s="6"/>
      <c r="O78" s="7" t="s">
        <v>720</v>
      </c>
    </row>
    <row r="79" customFormat="false" ht="68.65" hidden="false" customHeight="false" outlineLevel="0" collapsed="false">
      <c r="A79" s="5" t="s">
        <v>721</v>
      </c>
      <c r="B79" s="6" t="s">
        <v>722</v>
      </c>
      <c r="C79" s="7" t="s">
        <v>5</v>
      </c>
      <c r="D79" s="6" t="s">
        <v>723</v>
      </c>
      <c r="E79" s="6" t="s">
        <v>48</v>
      </c>
      <c r="F79" s="7" t="s">
        <v>724</v>
      </c>
      <c r="G79" s="7" t="s">
        <v>725</v>
      </c>
      <c r="H79" s="7" t="s">
        <v>726</v>
      </c>
      <c r="I79" s="7" t="s">
        <v>727</v>
      </c>
      <c r="J79" s="7" t="s">
        <v>728</v>
      </c>
      <c r="K79" s="7" t="s">
        <v>729</v>
      </c>
      <c r="L79" s="7" t="s">
        <v>730</v>
      </c>
      <c r="M79" s="6" t="s">
        <v>251</v>
      </c>
      <c r="N79" s="6" t="s">
        <v>731</v>
      </c>
      <c r="O79" s="7" t="s">
        <v>732</v>
      </c>
    </row>
    <row r="80" customFormat="false" ht="23.85" hidden="false" customHeight="false" outlineLevel="0" collapsed="false">
      <c r="A80" s="5" t="s">
        <v>733</v>
      </c>
      <c r="B80" s="6" t="s">
        <v>722</v>
      </c>
      <c r="C80" s="7" t="s">
        <v>734</v>
      </c>
      <c r="D80" s="6" t="s">
        <v>723</v>
      </c>
      <c r="E80" s="6" t="s">
        <v>77</v>
      </c>
      <c r="F80" s="7" t="s">
        <v>735</v>
      </c>
      <c r="G80" s="7" t="s">
        <v>736</v>
      </c>
      <c r="H80" s="7" t="s">
        <v>70</v>
      </c>
      <c r="I80" s="7" t="s">
        <v>737</v>
      </c>
      <c r="J80" s="7" t="s">
        <v>738</v>
      </c>
      <c r="K80" s="7" t="s">
        <v>739</v>
      </c>
      <c r="L80" s="7" t="s">
        <v>740</v>
      </c>
      <c r="M80" s="6" t="s">
        <v>251</v>
      </c>
      <c r="N80" s="6" t="s">
        <v>741</v>
      </c>
      <c r="O80" s="7" t="s">
        <v>742</v>
      </c>
    </row>
    <row r="81" customFormat="false" ht="68.65" hidden="false" customHeight="false" outlineLevel="0" collapsed="false">
      <c r="A81" s="5" t="s">
        <v>743</v>
      </c>
      <c r="B81" s="6" t="s">
        <v>722</v>
      </c>
      <c r="C81" s="7" t="s">
        <v>5</v>
      </c>
      <c r="D81" s="6" t="s">
        <v>723</v>
      </c>
      <c r="E81" s="6" t="s">
        <v>77</v>
      </c>
      <c r="F81" s="7" t="s">
        <v>744</v>
      </c>
      <c r="G81" s="7" t="s">
        <v>745</v>
      </c>
      <c r="H81" s="7" t="s">
        <v>746</v>
      </c>
      <c r="I81" s="7" t="s">
        <v>747</v>
      </c>
      <c r="J81" s="7" t="s">
        <v>748</v>
      </c>
      <c r="K81" s="7" t="s">
        <v>749</v>
      </c>
      <c r="L81" s="7" t="s">
        <v>750</v>
      </c>
      <c r="M81" s="6" t="s">
        <v>251</v>
      </c>
      <c r="N81" s="6" t="s">
        <v>751</v>
      </c>
      <c r="O81" s="7" t="s">
        <v>752</v>
      </c>
    </row>
    <row r="82" customFormat="false" ht="35.05" hidden="false" customHeight="false" outlineLevel="0" collapsed="false">
      <c r="A82" s="5" t="s">
        <v>753</v>
      </c>
      <c r="B82" s="6" t="s">
        <v>722</v>
      </c>
      <c r="C82" s="7" t="s">
        <v>722</v>
      </c>
      <c r="D82" s="6" t="s">
        <v>124</v>
      </c>
      <c r="E82" s="6" t="s">
        <v>77</v>
      </c>
      <c r="F82" s="7" t="s">
        <v>754</v>
      </c>
      <c r="G82" s="7" t="s">
        <v>755</v>
      </c>
      <c r="H82" s="7" t="s">
        <v>70</v>
      </c>
      <c r="I82" s="7" t="s">
        <v>756</v>
      </c>
      <c r="J82" s="7" t="s">
        <v>757</v>
      </c>
      <c r="K82" s="7" t="s">
        <v>758</v>
      </c>
      <c r="L82" s="7" t="s">
        <v>759</v>
      </c>
      <c r="M82" s="6" t="s">
        <v>56</v>
      </c>
      <c r="N82" s="6"/>
      <c r="O82" s="7" t="s">
        <v>760</v>
      </c>
    </row>
    <row r="83" customFormat="false" ht="35.05" hidden="false" customHeight="false" outlineLevel="0" collapsed="false">
      <c r="A83" s="5" t="s">
        <v>761</v>
      </c>
      <c r="B83" s="6" t="s">
        <v>722</v>
      </c>
      <c r="C83" s="7" t="s">
        <v>722</v>
      </c>
      <c r="D83" s="6" t="s">
        <v>47</v>
      </c>
      <c r="E83" s="6" t="s">
        <v>151</v>
      </c>
      <c r="F83" s="7" t="s">
        <v>762</v>
      </c>
      <c r="G83" s="7" t="s">
        <v>763</v>
      </c>
      <c r="H83" s="7" t="s">
        <v>70</v>
      </c>
      <c r="I83" s="7" t="s">
        <v>764</v>
      </c>
      <c r="J83" s="7" t="s">
        <v>765</v>
      </c>
      <c r="K83" s="7" t="s">
        <v>766</v>
      </c>
      <c r="L83" s="7" t="s">
        <v>767</v>
      </c>
      <c r="M83" s="6" t="s">
        <v>251</v>
      </c>
      <c r="N83" s="6" t="s">
        <v>768</v>
      </c>
      <c r="O83" s="7" t="s">
        <v>769</v>
      </c>
    </row>
    <row r="84" customFormat="false" ht="35.05" hidden="false" customHeight="false" outlineLevel="0" collapsed="false">
      <c r="A84" s="5" t="s">
        <v>770</v>
      </c>
      <c r="B84" s="6" t="s">
        <v>722</v>
      </c>
      <c r="C84" s="7" t="s">
        <v>722</v>
      </c>
      <c r="D84" s="6" t="s">
        <v>47</v>
      </c>
      <c r="E84" s="6" t="s">
        <v>151</v>
      </c>
      <c r="F84" s="7" t="s">
        <v>771</v>
      </c>
      <c r="G84" s="7" t="s">
        <v>772</v>
      </c>
      <c r="H84" s="7" t="s">
        <v>773</v>
      </c>
      <c r="I84" s="7" t="s">
        <v>774</v>
      </c>
      <c r="J84" s="7" t="s">
        <v>775</v>
      </c>
      <c r="K84" s="7" t="s">
        <v>776</v>
      </c>
      <c r="L84" s="7" t="s">
        <v>777</v>
      </c>
      <c r="M84" s="6" t="s">
        <v>56</v>
      </c>
      <c r="N84" s="6"/>
      <c r="O84" s="7" t="s">
        <v>778</v>
      </c>
    </row>
    <row r="85" customFormat="false" ht="35.05" hidden="false" customHeight="false" outlineLevel="0" collapsed="false">
      <c r="A85" s="5" t="s">
        <v>779</v>
      </c>
      <c r="B85" s="6" t="s">
        <v>722</v>
      </c>
      <c r="C85" s="7" t="s">
        <v>722</v>
      </c>
      <c r="D85" s="6" t="s">
        <v>47</v>
      </c>
      <c r="E85" s="6" t="s">
        <v>151</v>
      </c>
      <c r="F85" s="7" t="s">
        <v>780</v>
      </c>
      <c r="G85" s="7" t="s">
        <v>781</v>
      </c>
      <c r="H85" s="7" t="s">
        <v>70</v>
      </c>
      <c r="I85" s="7" t="s">
        <v>782</v>
      </c>
      <c r="J85" s="7" t="s">
        <v>783</v>
      </c>
      <c r="K85" s="7" t="s">
        <v>784</v>
      </c>
      <c r="L85" s="7" t="s">
        <v>785</v>
      </c>
      <c r="M85" s="6" t="s">
        <v>56</v>
      </c>
      <c r="N85" s="6"/>
      <c r="O85" s="7" t="s">
        <v>786</v>
      </c>
    </row>
    <row r="86" customFormat="false" ht="23.85" hidden="false" customHeight="false" outlineLevel="0" collapsed="false">
      <c r="A86" s="5" t="s">
        <v>787</v>
      </c>
      <c r="B86" s="6" t="s">
        <v>722</v>
      </c>
      <c r="C86" s="7" t="s">
        <v>722</v>
      </c>
      <c r="D86" s="6" t="s">
        <v>47</v>
      </c>
      <c r="E86" s="6" t="s">
        <v>151</v>
      </c>
      <c r="F86" s="7" t="s">
        <v>788</v>
      </c>
      <c r="G86" s="7" t="s">
        <v>789</v>
      </c>
      <c r="H86" s="7" t="s">
        <v>70</v>
      </c>
      <c r="I86" s="7" t="s">
        <v>790</v>
      </c>
      <c r="J86" s="7" t="s">
        <v>791</v>
      </c>
      <c r="K86" s="7" t="s">
        <v>792</v>
      </c>
      <c r="L86" s="7" t="s">
        <v>793</v>
      </c>
      <c r="M86" s="6" t="s">
        <v>56</v>
      </c>
      <c r="N86" s="6"/>
      <c r="O86" s="7" t="s">
        <v>794</v>
      </c>
    </row>
    <row r="87" customFormat="false" ht="35.05" hidden="false" customHeight="false" outlineLevel="0" collapsed="false">
      <c r="A87" s="5" t="s">
        <v>795</v>
      </c>
      <c r="B87" s="6" t="s">
        <v>722</v>
      </c>
      <c r="C87" s="7" t="s">
        <v>722</v>
      </c>
      <c r="D87" s="6" t="s">
        <v>47</v>
      </c>
      <c r="E87" s="6" t="s">
        <v>151</v>
      </c>
      <c r="F87" s="7" t="s">
        <v>796</v>
      </c>
      <c r="G87" s="7" t="s">
        <v>797</v>
      </c>
      <c r="H87" s="7" t="s">
        <v>70</v>
      </c>
      <c r="I87" s="7" t="s">
        <v>798</v>
      </c>
      <c r="J87" s="7" t="s">
        <v>799</v>
      </c>
      <c r="K87" s="7" t="s">
        <v>800</v>
      </c>
      <c r="L87" s="7" t="s">
        <v>801</v>
      </c>
      <c r="M87" s="6" t="s">
        <v>186</v>
      </c>
      <c r="N87" s="6" t="s">
        <v>187</v>
      </c>
      <c r="O87" s="7" t="s">
        <v>802</v>
      </c>
    </row>
    <row r="88" customFormat="false" ht="35.05" hidden="false" customHeight="false" outlineLevel="0" collapsed="false">
      <c r="A88" s="5" t="s">
        <v>803</v>
      </c>
      <c r="B88" s="6" t="s">
        <v>722</v>
      </c>
      <c r="C88" s="7" t="s">
        <v>722</v>
      </c>
      <c r="D88" s="6" t="s">
        <v>47</v>
      </c>
      <c r="E88" s="6" t="s">
        <v>77</v>
      </c>
      <c r="F88" s="7" t="s">
        <v>804</v>
      </c>
      <c r="G88" s="7" t="s">
        <v>805</v>
      </c>
      <c r="H88" s="7" t="s">
        <v>806</v>
      </c>
      <c r="I88" s="7" t="s">
        <v>807</v>
      </c>
      <c r="J88" s="7" t="s">
        <v>808</v>
      </c>
      <c r="K88" s="7" t="s">
        <v>809</v>
      </c>
      <c r="L88" s="7" t="s">
        <v>810</v>
      </c>
      <c r="M88" s="6" t="s">
        <v>56</v>
      </c>
      <c r="N88" s="6"/>
      <c r="O88" s="7" t="s">
        <v>811</v>
      </c>
    </row>
    <row r="89" customFormat="false" ht="23.85" hidden="false" customHeight="false" outlineLevel="0" collapsed="false">
      <c r="A89" s="5" t="s">
        <v>812</v>
      </c>
      <c r="B89" s="6" t="s">
        <v>722</v>
      </c>
      <c r="C89" s="7" t="s">
        <v>722</v>
      </c>
      <c r="D89" s="6" t="s">
        <v>47</v>
      </c>
      <c r="E89" s="6" t="s">
        <v>151</v>
      </c>
      <c r="F89" s="7" t="s">
        <v>813</v>
      </c>
      <c r="G89" s="7" t="s">
        <v>814</v>
      </c>
      <c r="H89" s="7" t="s">
        <v>70</v>
      </c>
      <c r="I89" s="7" t="s">
        <v>815</v>
      </c>
      <c r="J89" s="7" t="s">
        <v>816</v>
      </c>
      <c r="K89" s="7" t="s">
        <v>817</v>
      </c>
      <c r="L89" s="7" t="s">
        <v>818</v>
      </c>
      <c r="M89" s="6" t="s">
        <v>56</v>
      </c>
      <c r="N89" s="6"/>
      <c r="O89" s="7" t="s">
        <v>819</v>
      </c>
    </row>
    <row r="90" customFormat="false" ht="46.25" hidden="false" customHeight="false" outlineLevel="0" collapsed="false">
      <c r="A90" s="5" t="s">
        <v>820</v>
      </c>
      <c r="B90" s="6" t="s">
        <v>722</v>
      </c>
      <c r="C90" s="7" t="s">
        <v>722</v>
      </c>
      <c r="D90" s="6" t="s">
        <v>47</v>
      </c>
      <c r="E90" s="6" t="s">
        <v>151</v>
      </c>
      <c r="F90" s="7" t="s">
        <v>821</v>
      </c>
      <c r="G90" s="7" t="s">
        <v>822</v>
      </c>
      <c r="H90" s="7" t="s">
        <v>823</v>
      </c>
      <c r="I90" s="7" t="s">
        <v>824</v>
      </c>
      <c r="J90" s="7" t="s">
        <v>825</v>
      </c>
      <c r="K90" s="7" t="s">
        <v>826</v>
      </c>
      <c r="L90" s="7" t="s">
        <v>827</v>
      </c>
      <c r="M90" s="6" t="s">
        <v>251</v>
      </c>
      <c r="N90" s="6" t="s">
        <v>828</v>
      </c>
      <c r="O90" s="7" t="s">
        <v>829</v>
      </c>
    </row>
    <row r="91" customFormat="false" ht="23.85" hidden="false" customHeight="false" outlineLevel="0" collapsed="false">
      <c r="A91" s="5" t="s">
        <v>830</v>
      </c>
      <c r="B91" s="6" t="s">
        <v>722</v>
      </c>
      <c r="C91" s="7" t="s">
        <v>722</v>
      </c>
      <c r="D91" s="6" t="s">
        <v>47</v>
      </c>
      <c r="E91" s="6" t="s">
        <v>77</v>
      </c>
      <c r="F91" s="7" t="s">
        <v>831</v>
      </c>
      <c r="G91" s="7" t="s">
        <v>832</v>
      </c>
      <c r="H91" s="7" t="s">
        <v>773</v>
      </c>
      <c r="I91" s="7" t="s">
        <v>833</v>
      </c>
      <c r="J91" s="7" t="s">
        <v>834</v>
      </c>
      <c r="K91" s="7" t="s">
        <v>835</v>
      </c>
      <c r="L91" s="7" t="s">
        <v>836</v>
      </c>
      <c r="M91" s="6" t="s">
        <v>56</v>
      </c>
      <c r="N91" s="6"/>
      <c r="O91" s="7" t="s">
        <v>837</v>
      </c>
    </row>
    <row r="92" customFormat="false" ht="23.85" hidden="false" customHeight="false" outlineLevel="0" collapsed="false">
      <c r="A92" s="5" t="s">
        <v>838</v>
      </c>
      <c r="B92" s="6" t="s">
        <v>722</v>
      </c>
      <c r="C92" s="7" t="s">
        <v>722</v>
      </c>
      <c r="D92" s="6" t="s">
        <v>47</v>
      </c>
      <c r="E92" s="6" t="s">
        <v>151</v>
      </c>
      <c r="F92" s="7" t="s">
        <v>839</v>
      </c>
      <c r="G92" s="7" t="s">
        <v>840</v>
      </c>
      <c r="H92" s="7" t="s">
        <v>773</v>
      </c>
      <c r="I92" s="7" t="s">
        <v>841</v>
      </c>
      <c r="J92" s="7" t="s">
        <v>842</v>
      </c>
      <c r="K92" s="7" t="s">
        <v>843</v>
      </c>
      <c r="L92" s="7" t="s">
        <v>844</v>
      </c>
      <c r="M92" s="6" t="s">
        <v>56</v>
      </c>
      <c r="N92" s="6"/>
      <c r="O92" s="7" t="s">
        <v>845</v>
      </c>
    </row>
    <row r="93" customFormat="false" ht="23.85" hidden="false" customHeight="false" outlineLevel="0" collapsed="false">
      <c r="A93" s="5" t="s">
        <v>846</v>
      </c>
      <c r="B93" s="6" t="s">
        <v>722</v>
      </c>
      <c r="C93" s="7" t="s">
        <v>722</v>
      </c>
      <c r="D93" s="6" t="s">
        <v>124</v>
      </c>
      <c r="E93" s="6" t="s">
        <v>77</v>
      </c>
      <c r="F93" s="7" t="s">
        <v>847</v>
      </c>
      <c r="G93" s="7" t="s">
        <v>848</v>
      </c>
      <c r="H93" s="7" t="s">
        <v>70</v>
      </c>
      <c r="I93" s="7" t="s">
        <v>849</v>
      </c>
      <c r="J93" s="7" t="s">
        <v>850</v>
      </c>
      <c r="K93" s="7" t="s">
        <v>851</v>
      </c>
      <c r="L93" s="7" t="s">
        <v>852</v>
      </c>
      <c r="M93" s="6" t="s">
        <v>56</v>
      </c>
      <c r="N93" s="6"/>
      <c r="O93" s="7" t="s">
        <v>853</v>
      </c>
    </row>
    <row r="94" customFormat="false" ht="46.25" hidden="false" customHeight="false" outlineLevel="0" collapsed="false">
      <c r="A94" s="5" t="s">
        <v>854</v>
      </c>
      <c r="B94" s="6" t="s">
        <v>722</v>
      </c>
      <c r="C94" s="7" t="s">
        <v>722</v>
      </c>
      <c r="D94" s="6" t="s">
        <v>47</v>
      </c>
      <c r="E94" s="6" t="s">
        <v>151</v>
      </c>
      <c r="F94" s="7" t="s">
        <v>855</v>
      </c>
      <c r="G94" s="7" t="s">
        <v>856</v>
      </c>
      <c r="H94" s="7" t="s">
        <v>70</v>
      </c>
      <c r="I94" s="7" t="s">
        <v>857</v>
      </c>
      <c r="J94" s="7" t="s">
        <v>858</v>
      </c>
      <c r="K94" s="7" t="s">
        <v>859</v>
      </c>
      <c r="L94" s="7" t="s">
        <v>860</v>
      </c>
      <c r="M94" s="6" t="s">
        <v>251</v>
      </c>
      <c r="N94" s="6" t="s">
        <v>287</v>
      </c>
      <c r="O94" s="7" t="s">
        <v>861</v>
      </c>
    </row>
    <row r="95" customFormat="false" ht="35.05" hidden="false" customHeight="false" outlineLevel="0" collapsed="false">
      <c r="A95" s="5" t="s">
        <v>862</v>
      </c>
      <c r="B95" s="6" t="s">
        <v>722</v>
      </c>
      <c r="C95" s="7" t="s">
        <v>722</v>
      </c>
      <c r="D95" s="6" t="s">
        <v>47</v>
      </c>
      <c r="E95" s="6" t="s">
        <v>151</v>
      </c>
      <c r="F95" s="7" t="s">
        <v>863</v>
      </c>
      <c r="G95" s="7" t="s">
        <v>864</v>
      </c>
      <c r="H95" s="7" t="s">
        <v>70</v>
      </c>
      <c r="I95" s="7" t="s">
        <v>865</v>
      </c>
      <c r="J95" s="7" t="s">
        <v>866</v>
      </c>
      <c r="K95" s="7" t="s">
        <v>867</v>
      </c>
      <c r="L95" s="7" t="s">
        <v>868</v>
      </c>
      <c r="M95" s="6" t="s">
        <v>251</v>
      </c>
      <c r="N95" s="6" t="s">
        <v>296</v>
      </c>
      <c r="O95" s="7" t="s">
        <v>869</v>
      </c>
    </row>
    <row r="96" customFormat="false" ht="35.05" hidden="false" customHeight="false" outlineLevel="0" collapsed="false">
      <c r="A96" s="5" t="s">
        <v>870</v>
      </c>
      <c r="B96" s="6" t="s">
        <v>722</v>
      </c>
      <c r="C96" s="7" t="s">
        <v>722</v>
      </c>
      <c r="D96" s="6" t="s">
        <v>124</v>
      </c>
      <c r="E96" s="6" t="s">
        <v>151</v>
      </c>
      <c r="F96" s="7" t="s">
        <v>871</v>
      </c>
      <c r="G96" s="7" t="s">
        <v>872</v>
      </c>
      <c r="H96" s="7" t="s">
        <v>70</v>
      </c>
      <c r="I96" s="7" t="s">
        <v>873</v>
      </c>
      <c r="J96" s="7" t="s">
        <v>874</v>
      </c>
      <c r="K96" s="7" t="s">
        <v>875</v>
      </c>
      <c r="L96" s="7" t="s">
        <v>876</v>
      </c>
      <c r="M96" s="6" t="s">
        <v>251</v>
      </c>
      <c r="N96" s="6" t="s">
        <v>345</v>
      </c>
      <c r="O96" s="7" t="s">
        <v>877</v>
      </c>
    </row>
    <row r="97" customFormat="false" ht="23.85" hidden="false" customHeight="false" outlineLevel="0" collapsed="false">
      <c r="A97" s="5" t="s">
        <v>878</v>
      </c>
      <c r="B97" s="6" t="s">
        <v>722</v>
      </c>
      <c r="C97" s="7" t="s">
        <v>722</v>
      </c>
      <c r="D97" s="6" t="s">
        <v>47</v>
      </c>
      <c r="E97" s="6" t="s">
        <v>151</v>
      </c>
      <c r="F97" s="7" t="s">
        <v>879</v>
      </c>
      <c r="G97" s="7" t="s">
        <v>880</v>
      </c>
      <c r="H97" s="7" t="s">
        <v>773</v>
      </c>
      <c r="I97" s="7" t="s">
        <v>881</v>
      </c>
      <c r="J97" s="7" t="s">
        <v>882</v>
      </c>
      <c r="K97" s="7" t="s">
        <v>883</v>
      </c>
      <c r="L97" s="7" t="s">
        <v>884</v>
      </c>
      <c r="M97" s="6" t="s">
        <v>251</v>
      </c>
      <c r="N97" s="6" t="s">
        <v>653</v>
      </c>
      <c r="O97" s="7" t="s">
        <v>885</v>
      </c>
    </row>
    <row r="98" customFormat="false" ht="35.05" hidden="false" customHeight="false" outlineLevel="0" collapsed="false">
      <c r="A98" s="5" t="s">
        <v>886</v>
      </c>
      <c r="B98" s="6" t="s">
        <v>722</v>
      </c>
      <c r="C98" s="7" t="s">
        <v>722</v>
      </c>
      <c r="D98" s="6" t="s">
        <v>47</v>
      </c>
      <c r="E98" s="6" t="s">
        <v>151</v>
      </c>
      <c r="F98" s="7" t="s">
        <v>887</v>
      </c>
      <c r="G98" s="7" t="s">
        <v>888</v>
      </c>
      <c r="H98" s="7" t="s">
        <v>889</v>
      </c>
      <c r="I98" s="7" t="s">
        <v>52</v>
      </c>
      <c r="J98" s="7" t="s">
        <v>890</v>
      </c>
      <c r="K98" s="7" t="s">
        <v>891</v>
      </c>
      <c r="L98" s="7" t="s">
        <v>892</v>
      </c>
      <c r="M98" s="6" t="s">
        <v>251</v>
      </c>
      <c r="N98" s="6" t="s">
        <v>187</v>
      </c>
      <c r="O98" s="7" t="s">
        <v>893</v>
      </c>
    </row>
    <row r="99" customFormat="false" ht="35.05" hidden="false" customHeight="false" outlineLevel="0" collapsed="false">
      <c r="A99" s="5" t="s">
        <v>894</v>
      </c>
      <c r="B99" s="6" t="s">
        <v>722</v>
      </c>
      <c r="C99" s="7" t="s">
        <v>722</v>
      </c>
      <c r="D99" s="6" t="s">
        <v>47</v>
      </c>
      <c r="E99" s="6" t="s">
        <v>77</v>
      </c>
      <c r="F99" s="7" t="s">
        <v>895</v>
      </c>
      <c r="G99" s="7" t="s">
        <v>896</v>
      </c>
      <c r="H99" s="7" t="s">
        <v>70</v>
      </c>
      <c r="I99" s="7" t="s">
        <v>897</v>
      </c>
      <c r="J99" s="7" t="s">
        <v>898</v>
      </c>
      <c r="K99" s="7" t="s">
        <v>899</v>
      </c>
      <c r="L99" s="7" t="s">
        <v>900</v>
      </c>
      <c r="M99" s="6" t="s">
        <v>251</v>
      </c>
      <c r="N99" s="6" t="s">
        <v>496</v>
      </c>
      <c r="O99" s="7" t="s">
        <v>901</v>
      </c>
    </row>
    <row r="100" customFormat="false" ht="46.25" hidden="false" customHeight="false" outlineLevel="0" collapsed="false">
      <c r="A100" s="5" t="s">
        <v>902</v>
      </c>
      <c r="B100" s="6" t="s">
        <v>722</v>
      </c>
      <c r="C100" s="7" t="s">
        <v>5</v>
      </c>
      <c r="D100" s="6" t="s">
        <v>723</v>
      </c>
      <c r="E100" s="6" t="s">
        <v>77</v>
      </c>
      <c r="F100" s="7" t="s">
        <v>903</v>
      </c>
      <c r="G100" s="7" t="s">
        <v>904</v>
      </c>
      <c r="H100" s="7" t="s">
        <v>905</v>
      </c>
      <c r="I100" s="7" t="s">
        <v>906</v>
      </c>
      <c r="J100" s="7" t="s">
        <v>907</v>
      </c>
      <c r="K100" s="7" t="s">
        <v>908</v>
      </c>
      <c r="L100" s="7" t="s">
        <v>909</v>
      </c>
      <c r="M100" s="6" t="s">
        <v>251</v>
      </c>
      <c r="N100" s="6" t="s">
        <v>496</v>
      </c>
      <c r="O100" s="7" t="s">
        <v>910</v>
      </c>
    </row>
  </sheetData>
  <autoFilter ref="A1:O100"/>
  <conditionalFormatting sqref="M2:M100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8">
      <formula>"Fail"</formula>
    </cfRule>
    <cfRule type="cellIs" priority="4" operator="equal" aboveAverage="0" equalAverage="0" bottom="0" percent="0" rank="0" text="" dxfId="9">
      <formula>"Blocked"</formula>
    </cfRule>
    <cfRule type="cellIs" priority="5" operator="equal" aboveAverage="0" equalAverage="0" bottom="0" percent="0" rank="0" text="" dxfId="10">
      <formula>"Skipped"</formula>
    </cfRule>
  </conditionalFormatting>
  <dataValidations count="1">
    <dataValidation allowBlank="false" errorStyle="stop" operator="between" showDropDown="false" showErrorMessage="false" showInputMessage="false" sqref="M2:M100" type="list">
      <formula1>"Pass,Fail,Blocked,Skipped"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0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38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10</v>
      </c>
      <c r="B1" s="4" t="s">
        <v>36</v>
      </c>
      <c r="C1" s="4" t="s">
        <v>14</v>
      </c>
      <c r="D1" s="4" t="s">
        <v>35</v>
      </c>
      <c r="E1" s="4" t="s">
        <v>911</v>
      </c>
      <c r="F1" s="4" t="s">
        <v>16</v>
      </c>
      <c r="G1" s="4" t="s">
        <v>912</v>
      </c>
      <c r="H1" s="4" t="s">
        <v>18</v>
      </c>
    </row>
    <row r="2" customFormat="false" ht="15" hidden="false" customHeight="false" outlineLevel="0" collapsed="false">
      <c r="A2" s="8" t="s">
        <v>573</v>
      </c>
      <c r="B2" s="7" t="s">
        <v>913</v>
      </c>
      <c r="C2" s="6" t="s">
        <v>914</v>
      </c>
      <c r="D2" s="7" t="s">
        <v>915</v>
      </c>
      <c r="E2" s="6" t="s">
        <v>916</v>
      </c>
      <c r="F2" s="6" t="s">
        <v>48</v>
      </c>
      <c r="G2" s="7" t="s">
        <v>917</v>
      </c>
      <c r="H2" s="6" t="s">
        <v>918</v>
      </c>
    </row>
    <row r="3" customFormat="false" ht="15" hidden="false" customHeight="false" outlineLevel="0" collapsed="false">
      <c r="A3" s="8" t="s">
        <v>515</v>
      </c>
      <c r="B3" s="7" t="s">
        <v>919</v>
      </c>
      <c r="C3" s="6" t="s">
        <v>914</v>
      </c>
      <c r="D3" s="7" t="s">
        <v>105</v>
      </c>
      <c r="E3" s="6" t="s">
        <v>920</v>
      </c>
      <c r="F3" s="6" t="s">
        <v>48</v>
      </c>
      <c r="G3" s="7" t="s">
        <v>921</v>
      </c>
      <c r="H3" s="6" t="s">
        <v>918</v>
      </c>
    </row>
    <row r="4" customFormat="false" ht="15" hidden="false" customHeight="false" outlineLevel="0" collapsed="false">
      <c r="A4" s="8" t="s">
        <v>548</v>
      </c>
      <c r="B4" s="7" t="s">
        <v>922</v>
      </c>
      <c r="C4" s="6" t="s">
        <v>914</v>
      </c>
      <c r="D4" s="7" t="s">
        <v>540</v>
      </c>
      <c r="E4" s="6" t="s">
        <v>920</v>
      </c>
      <c r="F4" s="6" t="s">
        <v>48</v>
      </c>
      <c r="G4" s="7" t="s">
        <v>923</v>
      </c>
      <c r="H4" s="6" t="s">
        <v>918</v>
      </c>
    </row>
    <row r="5" customFormat="false" ht="23.85" hidden="false" customHeight="false" outlineLevel="0" collapsed="false">
      <c r="A5" s="8" t="s">
        <v>262</v>
      </c>
      <c r="B5" s="7" t="s">
        <v>924</v>
      </c>
      <c r="C5" s="6" t="s">
        <v>914</v>
      </c>
      <c r="D5" s="7" t="s">
        <v>925</v>
      </c>
      <c r="E5" s="6" t="s">
        <v>920</v>
      </c>
      <c r="F5" s="6" t="s">
        <v>48</v>
      </c>
      <c r="G5" s="7" t="s">
        <v>926</v>
      </c>
      <c r="H5" s="6" t="s">
        <v>918</v>
      </c>
    </row>
    <row r="6" customFormat="false" ht="15" hidden="false" customHeight="false" outlineLevel="0" collapsed="false">
      <c r="A6" s="8" t="s">
        <v>531</v>
      </c>
      <c r="B6" s="7" t="s">
        <v>927</v>
      </c>
      <c r="C6" s="6" t="s">
        <v>914</v>
      </c>
      <c r="D6" s="7" t="s">
        <v>105</v>
      </c>
      <c r="E6" s="6" t="s">
        <v>920</v>
      </c>
      <c r="F6" s="6" t="s">
        <v>77</v>
      </c>
      <c r="G6" s="7" t="s">
        <v>928</v>
      </c>
      <c r="H6" s="6" t="s">
        <v>918</v>
      </c>
    </row>
    <row r="7" customFormat="false" ht="15" hidden="false" customHeight="false" outlineLevel="0" collapsed="false">
      <c r="A7" s="8" t="s">
        <v>252</v>
      </c>
      <c r="B7" s="7" t="s">
        <v>929</v>
      </c>
      <c r="C7" s="6" t="s">
        <v>47</v>
      </c>
      <c r="D7" s="7" t="s">
        <v>46</v>
      </c>
      <c r="E7" s="6" t="s">
        <v>920</v>
      </c>
      <c r="F7" s="6" t="s">
        <v>77</v>
      </c>
      <c r="G7" s="7" t="s">
        <v>244</v>
      </c>
      <c r="H7" s="6" t="s">
        <v>918</v>
      </c>
    </row>
    <row r="8" customFormat="false" ht="15" hidden="false" customHeight="false" outlineLevel="0" collapsed="false">
      <c r="A8" s="8" t="s">
        <v>590</v>
      </c>
      <c r="B8" s="7" t="s">
        <v>930</v>
      </c>
      <c r="C8" s="6" t="s">
        <v>47</v>
      </c>
      <c r="D8" s="7" t="s">
        <v>931</v>
      </c>
      <c r="E8" s="6" t="s">
        <v>920</v>
      </c>
      <c r="F8" s="6" t="s">
        <v>77</v>
      </c>
      <c r="G8" s="7" t="s">
        <v>582</v>
      </c>
      <c r="H8" s="6" t="s">
        <v>918</v>
      </c>
    </row>
    <row r="9" customFormat="false" ht="15" hidden="false" customHeight="false" outlineLevel="0" collapsed="false">
      <c r="A9" s="8" t="s">
        <v>607</v>
      </c>
      <c r="B9" s="7" t="s">
        <v>932</v>
      </c>
      <c r="C9" s="6" t="s">
        <v>47</v>
      </c>
      <c r="D9" s="7" t="s">
        <v>931</v>
      </c>
      <c r="E9" s="6" t="s">
        <v>933</v>
      </c>
      <c r="F9" s="6" t="s">
        <v>151</v>
      </c>
      <c r="G9" s="7" t="s">
        <v>934</v>
      </c>
      <c r="H9" s="6" t="s">
        <v>918</v>
      </c>
    </row>
    <row r="10" customFormat="false" ht="15" hidden="false" customHeight="false" outlineLevel="0" collapsed="false">
      <c r="A10" s="8" t="s">
        <v>419</v>
      </c>
      <c r="B10" s="7" t="s">
        <v>935</v>
      </c>
      <c r="C10" s="6" t="s">
        <v>124</v>
      </c>
      <c r="D10" s="7" t="s">
        <v>936</v>
      </c>
      <c r="E10" s="6" t="s">
        <v>920</v>
      </c>
      <c r="F10" s="6" t="s">
        <v>77</v>
      </c>
      <c r="G10" s="7" t="s">
        <v>937</v>
      </c>
      <c r="H10" s="6" t="s">
        <v>918</v>
      </c>
    </row>
    <row r="11" customFormat="false" ht="15" hidden="false" customHeight="false" outlineLevel="0" collapsed="false">
      <c r="A11" s="8" t="s">
        <v>368</v>
      </c>
      <c r="B11" s="7" t="s">
        <v>938</v>
      </c>
      <c r="C11" s="6" t="s">
        <v>124</v>
      </c>
      <c r="D11" s="7" t="s">
        <v>939</v>
      </c>
      <c r="E11" s="6" t="s">
        <v>920</v>
      </c>
      <c r="F11" s="6" t="s">
        <v>77</v>
      </c>
      <c r="G11" s="7" t="s">
        <v>940</v>
      </c>
      <c r="H11" s="6" t="s">
        <v>918</v>
      </c>
    </row>
    <row r="12" customFormat="false" ht="15" hidden="false" customHeight="false" outlineLevel="0" collapsed="false">
      <c r="A12" s="8" t="s">
        <v>345</v>
      </c>
      <c r="B12" s="7" t="s">
        <v>941</v>
      </c>
      <c r="C12" s="6" t="s">
        <v>124</v>
      </c>
      <c r="D12" s="7" t="s">
        <v>942</v>
      </c>
      <c r="E12" s="6" t="s">
        <v>933</v>
      </c>
      <c r="F12" s="6" t="s">
        <v>151</v>
      </c>
      <c r="G12" s="7" t="s">
        <v>943</v>
      </c>
      <c r="H12" s="6" t="s">
        <v>918</v>
      </c>
    </row>
    <row r="13" customFormat="false" ht="15" hidden="false" customHeight="false" outlineLevel="0" collapsed="false">
      <c r="A13" s="8" t="s">
        <v>486</v>
      </c>
      <c r="B13" s="7" t="s">
        <v>944</v>
      </c>
      <c r="C13" s="6" t="s">
        <v>124</v>
      </c>
      <c r="D13" s="7" t="s">
        <v>31</v>
      </c>
      <c r="E13" s="6" t="s">
        <v>933</v>
      </c>
      <c r="F13" s="6" t="s">
        <v>151</v>
      </c>
      <c r="G13" s="7" t="s">
        <v>945</v>
      </c>
      <c r="H13" s="6" t="s">
        <v>918</v>
      </c>
    </row>
    <row r="14" customFormat="false" ht="23.85" hidden="false" customHeight="false" outlineLevel="0" collapsed="false">
      <c r="A14" s="8" t="s">
        <v>287</v>
      </c>
      <c r="B14" s="7" t="s">
        <v>946</v>
      </c>
      <c r="C14" s="6" t="s">
        <v>914</v>
      </c>
      <c r="D14" s="7" t="s">
        <v>947</v>
      </c>
      <c r="E14" s="6" t="s">
        <v>933</v>
      </c>
      <c r="F14" s="6" t="s">
        <v>151</v>
      </c>
      <c r="G14" s="7" t="s">
        <v>948</v>
      </c>
      <c r="H14" s="6" t="s">
        <v>918</v>
      </c>
    </row>
    <row r="15" customFormat="false" ht="15" hidden="false" customHeight="false" outlineLevel="0" collapsed="false">
      <c r="A15" s="8" t="s">
        <v>690</v>
      </c>
      <c r="B15" s="7" t="s">
        <v>949</v>
      </c>
      <c r="C15" s="6" t="s">
        <v>47</v>
      </c>
      <c r="D15" s="7" t="s">
        <v>950</v>
      </c>
      <c r="E15" s="6" t="s">
        <v>920</v>
      </c>
      <c r="F15" s="6" t="s">
        <v>77</v>
      </c>
      <c r="G15" s="7" t="s">
        <v>682</v>
      </c>
      <c r="H15" s="6" t="s">
        <v>918</v>
      </c>
    </row>
    <row r="16" customFormat="false" ht="15" hidden="false" customHeight="false" outlineLevel="0" collapsed="false">
      <c r="A16" s="8" t="s">
        <v>436</v>
      </c>
      <c r="B16" s="7" t="s">
        <v>951</v>
      </c>
      <c r="C16" s="6" t="s">
        <v>47</v>
      </c>
      <c r="D16" s="7" t="s">
        <v>952</v>
      </c>
      <c r="E16" s="6" t="s">
        <v>920</v>
      </c>
      <c r="F16" s="6" t="s">
        <v>77</v>
      </c>
      <c r="G16" s="7" t="s">
        <v>429</v>
      </c>
      <c r="H16" s="6" t="s">
        <v>918</v>
      </c>
    </row>
    <row r="17" customFormat="false" ht="15" hidden="false" customHeight="false" outlineLevel="0" collapsed="false">
      <c r="A17" s="8" t="s">
        <v>632</v>
      </c>
      <c r="B17" s="7" t="s">
        <v>953</v>
      </c>
      <c r="C17" s="6" t="s">
        <v>914</v>
      </c>
      <c r="D17" s="7" t="s">
        <v>954</v>
      </c>
      <c r="E17" s="6" t="s">
        <v>920</v>
      </c>
      <c r="F17" s="6" t="s">
        <v>77</v>
      </c>
      <c r="G17" s="7" t="s">
        <v>625</v>
      </c>
      <c r="H17" s="6" t="s">
        <v>918</v>
      </c>
    </row>
    <row r="18" customFormat="false" ht="15" hidden="false" customHeight="false" outlineLevel="0" collapsed="false">
      <c r="A18" s="8" t="s">
        <v>642</v>
      </c>
      <c r="B18" s="7" t="s">
        <v>955</v>
      </c>
      <c r="C18" s="6" t="s">
        <v>47</v>
      </c>
      <c r="D18" s="7" t="s">
        <v>956</v>
      </c>
      <c r="E18" s="6" t="s">
        <v>933</v>
      </c>
      <c r="F18" s="6" t="s">
        <v>151</v>
      </c>
      <c r="G18" s="7" t="s">
        <v>634</v>
      </c>
      <c r="H18" s="6" t="s">
        <v>918</v>
      </c>
    </row>
    <row r="19" customFormat="false" ht="15" hidden="false" customHeight="false" outlineLevel="0" collapsed="false">
      <c r="A19" s="8" t="s">
        <v>653</v>
      </c>
      <c r="B19" s="7" t="s">
        <v>957</v>
      </c>
      <c r="C19" s="6" t="s">
        <v>47</v>
      </c>
      <c r="D19" s="7" t="s">
        <v>958</v>
      </c>
      <c r="E19" s="6" t="s">
        <v>933</v>
      </c>
      <c r="F19" s="6" t="s">
        <v>151</v>
      </c>
      <c r="G19" s="7" t="s">
        <v>959</v>
      </c>
      <c r="H19" s="6" t="s">
        <v>918</v>
      </c>
    </row>
    <row r="20" customFormat="false" ht="15" hidden="false" customHeight="false" outlineLevel="0" collapsed="false">
      <c r="A20" s="8" t="s">
        <v>672</v>
      </c>
      <c r="B20" s="7" t="s">
        <v>960</v>
      </c>
      <c r="C20" s="6" t="s">
        <v>47</v>
      </c>
      <c r="D20" s="7" t="s">
        <v>86</v>
      </c>
      <c r="E20" s="6" t="s">
        <v>920</v>
      </c>
      <c r="F20" s="6" t="s">
        <v>77</v>
      </c>
      <c r="G20" s="7" t="s">
        <v>664</v>
      </c>
      <c r="H20" s="6" t="s">
        <v>918</v>
      </c>
    </row>
    <row r="21" customFormat="false" ht="15" hidden="false" customHeight="false" outlineLevel="0" collapsed="false">
      <c r="A21" s="8" t="s">
        <v>700</v>
      </c>
      <c r="B21" s="7" t="s">
        <v>961</v>
      </c>
      <c r="C21" s="6" t="s">
        <v>47</v>
      </c>
      <c r="D21" s="7" t="s">
        <v>962</v>
      </c>
      <c r="E21" s="6" t="s">
        <v>933</v>
      </c>
      <c r="F21" s="6" t="s">
        <v>151</v>
      </c>
      <c r="G21" s="7" t="s">
        <v>692</v>
      </c>
      <c r="H21" s="6" t="s">
        <v>918</v>
      </c>
    </row>
    <row r="22" customFormat="false" ht="15" hidden="false" customHeight="false" outlineLevel="0" collapsed="false">
      <c r="A22" s="8" t="s">
        <v>710</v>
      </c>
      <c r="B22" s="7" t="s">
        <v>963</v>
      </c>
      <c r="C22" s="6" t="s">
        <v>914</v>
      </c>
      <c r="D22" s="7" t="s">
        <v>105</v>
      </c>
      <c r="E22" s="6" t="s">
        <v>933</v>
      </c>
      <c r="F22" s="6" t="s">
        <v>151</v>
      </c>
      <c r="G22" s="7" t="s">
        <v>702</v>
      </c>
      <c r="H22" s="6" t="s">
        <v>918</v>
      </c>
    </row>
    <row r="23" customFormat="false" ht="23.85" hidden="false" customHeight="false" outlineLevel="0" collapsed="false">
      <c r="A23" s="8" t="s">
        <v>187</v>
      </c>
      <c r="B23" s="7" t="s">
        <v>964</v>
      </c>
      <c r="C23" s="6" t="s">
        <v>47</v>
      </c>
      <c r="D23" s="7" t="s">
        <v>965</v>
      </c>
      <c r="E23" s="6" t="s">
        <v>933</v>
      </c>
      <c r="F23" s="6" t="s">
        <v>151</v>
      </c>
      <c r="G23" s="7" t="s">
        <v>966</v>
      </c>
      <c r="H23" s="6" t="s">
        <v>918</v>
      </c>
    </row>
    <row r="24" customFormat="false" ht="23.85" hidden="false" customHeight="false" outlineLevel="0" collapsed="false">
      <c r="A24" s="8" t="s">
        <v>496</v>
      </c>
      <c r="B24" s="7" t="s">
        <v>967</v>
      </c>
      <c r="C24" s="6" t="s">
        <v>968</v>
      </c>
      <c r="D24" s="7" t="s">
        <v>969</v>
      </c>
      <c r="E24" s="6" t="s">
        <v>920</v>
      </c>
      <c r="F24" s="6" t="s">
        <v>77</v>
      </c>
      <c r="G24" s="7" t="s">
        <v>970</v>
      </c>
      <c r="H24" s="6" t="s">
        <v>918</v>
      </c>
    </row>
    <row r="25" customFormat="false" ht="15" hidden="false" customHeight="false" outlineLevel="0" collapsed="false">
      <c r="A25" s="8" t="s">
        <v>296</v>
      </c>
      <c r="B25" s="7" t="s">
        <v>971</v>
      </c>
      <c r="C25" s="6" t="s">
        <v>47</v>
      </c>
      <c r="D25" s="7" t="s">
        <v>972</v>
      </c>
      <c r="E25" s="6" t="s">
        <v>933</v>
      </c>
      <c r="F25" s="6" t="s">
        <v>151</v>
      </c>
      <c r="G25" s="7" t="s">
        <v>973</v>
      </c>
      <c r="H25" s="6" t="s">
        <v>918</v>
      </c>
    </row>
    <row r="26" customFormat="false" ht="15" hidden="false" customHeight="false" outlineLevel="0" collapsed="false">
      <c r="A26" s="8" t="s">
        <v>731</v>
      </c>
      <c r="B26" s="7" t="s">
        <v>974</v>
      </c>
      <c r="C26" s="6" t="s">
        <v>723</v>
      </c>
      <c r="D26" s="7" t="s">
        <v>975</v>
      </c>
      <c r="E26" s="6" t="s">
        <v>920</v>
      </c>
      <c r="F26" s="6" t="s">
        <v>48</v>
      </c>
      <c r="G26" s="7" t="s">
        <v>721</v>
      </c>
      <c r="H26" s="6" t="s">
        <v>918</v>
      </c>
    </row>
    <row r="27" customFormat="false" ht="15" hidden="false" customHeight="false" outlineLevel="0" collapsed="false">
      <c r="A27" s="8" t="s">
        <v>751</v>
      </c>
      <c r="B27" s="7" t="s">
        <v>976</v>
      </c>
      <c r="C27" s="6" t="s">
        <v>723</v>
      </c>
      <c r="D27" s="7" t="s">
        <v>977</v>
      </c>
      <c r="E27" s="6" t="s">
        <v>933</v>
      </c>
      <c r="F27" s="6" t="s">
        <v>151</v>
      </c>
      <c r="G27" s="7" t="s">
        <v>743</v>
      </c>
      <c r="H27" s="6" t="s">
        <v>918</v>
      </c>
    </row>
    <row r="28" customFormat="false" ht="23.85" hidden="false" customHeight="false" outlineLevel="0" collapsed="false">
      <c r="A28" s="8" t="s">
        <v>828</v>
      </c>
      <c r="B28" s="7" t="s">
        <v>978</v>
      </c>
      <c r="C28" s="6" t="s">
        <v>47</v>
      </c>
      <c r="D28" s="7" t="s">
        <v>979</v>
      </c>
      <c r="E28" s="6" t="s">
        <v>933</v>
      </c>
      <c r="F28" s="6" t="s">
        <v>151</v>
      </c>
      <c r="G28" s="7" t="s">
        <v>980</v>
      </c>
      <c r="H28" s="6" t="s">
        <v>918</v>
      </c>
    </row>
    <row r="29" customFormat="false" ht="15" hidden="false" customHeight="false" outlineLevel="0" collapsed="false">
      <c r="A29" s="8" t="s">
        <v>768</v>
      </c>
      <c r="B29" s="7" t="s">
        <v>981</v>
      </c>
      <c r="C29" s="6" t="s">
        <v>47</v>
      </c>
      <c r="D29" s="7" t="s">
        <v>982</v>
      </c>
      <c r="E29" s="6" t="s">
        <v>933</v>
      </c>
      <c r="F29" s="6" t="s">
        <v>151</v>
      </c>
      <c r="G29" s="7" t="s">
        <v>761</v>
      </c>
      <c r="H29" s="6" t="s">
        <v>918</v>
      </c>
    </row>
    <row r="30" customFormat="false" ht="15" hidden="false" customHeight="false" outlineLevel="0" collapsed="false">
      <c r="A30" s="8" t="s">
        <v>741</v>
      </c>
      <c r="B30" s="7" t="s">
        <v>983</v>
      </c>
      <c r="C30" s="6" t="s">
        <v>124</v>
      </c>
      <c r="D30" s="7" t="s">
        <v>984</v>
      </c>
      <c r="E30" s="6" t="s">
        <v>920</v>
      </c>
      <c r="F30" s="6" t="s">
        <v>77</v>
      </c>
      <c r="G30" s="7" t="s">
        <v>733</v>
      </c>
      <c r="H30" s="6" t="s">
        <v>918</v>
      </c>
    </row>
  </sheetData>
  <autoFilter ref="A1:H30"/>
  <conditionalFormatting sqref="E2:E30">
    <cfRule type="cellIs" priority="2" operator="equal" aboveAverage="0" equalAverage="0" bottom="0" percent="0" rank="0" text="" dxfId="12">
      <formula>"Critique"</formula>
    </cfRule>
    <cfRule type="cellIs" priority="3" operator="equal" aboveAverage="0" equalAverage="0" bottom="0" percent="0" rank="0" text="" dxfId="8">
      <formula>"Majeure"</formula>
    </cfRule>
    <cfRule type="cellIs" priority="4" operator="equal" aboveAverage="0" equalAverage="0" bottom="0" percent="0" rank="0" text="" dxfId="9">
      <formula>"Mineure"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1" t="s">
        <v>985</v>
      </c>
    </row>
    <row r="2" customFormat="false" ht="15" hidden="false" customHeight="false" outlineLevel="0" collapsed="false">
      <c r="A2" s="9" t="s">
        <v>986</v>
      </c>
    </row>
    <row r="4" customFormat="false" ht="15" hidden="false" customHeight="false" outlineLevel="0" collapsed="false">
      <c r="A4" s="4" t="s">
        <v>12</v>
      </c>
      <c r="B4" s="4" t="s">
        <v>56</v>
      </c>
      <c r="C4" s="4" t="s">
        <v>251</v>
      </c>
      <c r="D4" s="4" t="s">
        <v>186</v>
      </c>
      <c r="E4" s="4" t="s">
        <v>719</v>
      </c>
      <c r="F4" s="4" t="s">
        <v>987</v>
      </c>
      <c r="G4" s="4" t="s">
        <v>988</v>
      </c>
    </row>
    <row r="5" customFormat="false" ht="15" hidden="false" customHeight="false" outlineLevel="0" collapsed="false">
      <c r="A5" s="10" t="s">
        <v>45</v>
      </c>
      <c r="B5" s="11" t="n">
        <f aca="false">COUNTIFS('Cas de test'!$B$2:$B$100,$A5,'Cas de test'!$M$2:$M$100,B$4)</f>
        <v>14</v>
      </c>
      <c r="C5" s="11" t="n">
        <f aca="false">COUNTIFS('Cas de test'!$B$2:$B$100,$A5,'Cas de test'!$M$2:$M$100,C$4)</f>
        <v>0</v>
      </c>
      <c r="D5" s="11" t="n">
        <f aca="false">COUNTIFS('Cas de test'!$B$2:$B$100,$A5,'Cas de test'!$M$2:$M$100,D$4)</f>
        <v>2</v>
      </c>
      <c r="E5" s="11" t="n">
        <f aca="false">COUNTIFS('Cas de test'!$B$2:$B$100,$A5,'Cas de test'!$M$2:$M$100,E$4)</f>
        <v>0</v>
      </c>
      <c r="F5" s="11" t="n">
        <f aca="false">SUM(B5:E5)</f>
        <v>16</v>
      </c>
      <c r="G5" s="12" t="n">
        <f aca="false">IF((B5+C5)=0,0,B5/(B5+C5))</f>
        <v>1</v>
      </c>
    </row>
    <row r="6" customFormat="false" ht="15" hidden="false" customHeight="false" outlineLevel="0" collapsed="false">
      <c r="A6" s="10" t="s">
        <v>199</v>
      </c>
      <c r="B6" s="11" t="n">
        <f aca="false">COUNTIFS('Cas de test'!$B$2:$B$100,$A6,'Cas de test'!$M$2:$M$100,B$4)</f>
        <v>6</v>
      </c>
      <c r="C6" s="11" t="n">
        <f aca="false">COUNTIFS('Cas de test'!$B$2:$B$100,$A6,'Cas de test'!$M$2:$M$100,C$4)</f>
        <v>7</v>
      </c>
      <c r="D6" s="11" t="n">
        <f aca="false">COUNTIFS('Cas de test'!$B$2:$B$100,$A6,'Cas de test'!$M$2:$M$100,D$4)</f>
        <v>0</v>
      </c>
      <c r="E6" s="11" t="n">
        <f aca="false">COUNTIFS('Cas de test'!$B$2:$B$100,$A6,'Cas de test'!$M$2:$M$100,E$4)</f>
        <v>0</v>
      </c>
      <c r="F6" s="11" t="n">
        <f aca="false">SUM(B6:E6)</f>
        <v>13</v>
      </c>
      <c r="G6" s="12" t="n">
        <f aca="false">IF((B6+C6)=0,0,B6/(B6+C6))</f>
        <v>0.461538461538462</v>
      </c>
    </row>
    <row r="7" customFormat="false" ht="15" hidden="false" customHeight="false" outlineLevel="0" collapsed="false">
      <c r="A7" s="10" t="s">
        <v>307</v>
      </c>
      <c r="B7" s="11" t="n">
        <f aca="false">COUNTIFS('Cas de test'!$B$2:$B$100,$A7,'Cas de test'!$M$2:$M$100,B$4)</f>
        <v>13</v>
      </c>
      <c r="C7" s="11" t="n">
        <f aca="false">COUNTIFS('Cas de test'!$B$2:$B$100,$A7,'Cas de test'!$M$2:$M$100,C$4)</f>
        <v>9</v>
      </c>
      <c r="D7" s="11" t="n">
        <f aca="false">COUNTIFS('Cas de test'!$B$2:$B$100,$A7,'Cas de test'!$M$2:$M$100,D$4)</f>
        <v>1</v>
      </c>
      <c r="E7" s="11" t="n">
        <f aca="false">COUNTIFS('Cas de test'!$B$2:$B$100,$A7,'Cas de test'!$M$2:$M$100,E$4)</f>
        <v>0</v>
      </c>
      <c r="F7" s="11" t="n">
        <f aca="false">SUM(B7:E7)</f>
        <v>23</v>
      </c>
      <c r="G7" s="12" t="n">
        <f aca="false">IF((B7+C7)=0,0,B7/(B7+C7))</f>
        <v>0.590909090909091</v>
      </c>
    </row>
    <row r="8" customFormat="false" ht="15" hidden="false" customHeight="false" outlineLevel="0" collapsed="false">
      <c r="A8" s="10" t="s">
        <v>499</v>
      </c>
      <c r="B8" s="11" t="n">
        <f aca="false">COUNTIFS('Cas de test'!$B$2:$B$100,$A8,'Cas de test'!$M$2:$M$100,B$4)</f>
        <v>6</v>
      </c>
      <c r="C8" s="11" t="n">
        <f aca="false">COUNTIFS('Cas de test'!$B$2:$B$100,$A8,'Cas de test'!$M$2:$M$100,C$4)</f>
        <v>18</v>
      </c>
      <c r="D8" s="11" t="n">
        <f aca="false">COUNTIFS('Cas de test'!$B$2:$B$100,$A8,'Cas de test'!$M$2:$M$100,D$4)</f>
        <v>0</v>
      </c>
      <c r="E8" s="11" t="n">
        <f aca="false">COUNTIFS('Cas de test'!$B$2:$B$100,$A8,'Cas de test'!$M$2:$M$100,E$4)</f>
        <v>1</v>
      </c>
      <c r="F8" s="11" t="n">
        <f aca="false">SUM(B8:E8)</f>
        <v>25</v>
      </c>
      <c r="G8" s="12" t="n">
        <f aca="false">IF((B8+C8)=0,0,B8/(B8+C8))</f>
        <v>0.25</v>
      </c>
    </row>
    <row r="9" customFormat="false" ht="15" hidden="false" customHeight="false" outlineLevel="0" collapsed="false">
      <c r="A9" s="10" t="s">
        <v>722</v>
      </c>
      <c r="B9" s="11" t="n">
        <f aca="false">COUNTIFS('Cas de test'!$B$2:$B$100,$A9,'Cas de test'!$M$2:$M$100,B$4)</f>
        <v>9</v>
      </c>
      <c r="C9" s="11" t="n">
        <f aca="false">COUNTIFS('Cas de test'!$B$2:$B$100,$A9,'Cas de test'!$M$2:$M$100,C$4)</f>
        <v>12</v>
      </c>
      <c r="D9" s="11" t="n">
        <f aca="false">COUNTIFS('Cas de test'!$B$2:$B$100,$A9,'Cas de test'!$M$2:$M$100,D$4)</f>
        <v>1</v>
      </c>
      <c r="E9" s="11" t="n">
        <f aca="false">COUNTIFS('Cas de test'!$B$2:$B$100,$A9,'Cas de test'!$M$2:$M$100,E$4)</f>
        <v>0</v>
      </c>
      <c r="F9" s="11" t="n">
        <f aca="false">SUM(B9:E9)</f>
        <v>22</v>
      </c>
      <c r="G9" s="12" t="n">
        <f aca="false">IF((B9+C9)=0,0,B9/(B9+C9))</f>
        <v>0.428571428571429</v>
      </c>
    </row>
    <row r="10" customFormat="false" ht="15" hidden="false" customHeight="false" outlineLevel="0" collapsed="false">
      <c r="A10" s="10" t="s">
        <v>987</v>
      </c>
      <c r="B10" s="13" t="n">
        <f aca="false">SUM(B5:B9)</f>
        <v>48</v>
      </c>
      <c r="C10" s="13" t="n">
        <f aca="false">SUM(C5:C9)</f>
        <v>46</v>
      </c>
      <c r="D10" s="13" t="n">
        <f aca="false">SUM(D5:D9)</f>
        <v>4</v>
      </c>
      <c r="E10" s="13" t="n">
        <f aca="false">SUM(E5:E9)</f>
        <v>1</v>
      </c>
      <c r="F10" s="13" t="n">
        <f aca="false">SUM(F5:F9)</f>
        <v>99</v>
      </c>
      <c r="G10" s="14" t="n">
        <f aca="false">IF((B10+C10)=0,0,B10/(B10+C10))</f>
        <v>0.51063829787234</v>
      </c>
    </row>
    <row r="12" customFormat="false" ht="15" hidden="false" customHeight="false" outlineLevel="0" collapsed="false">
      <c r="A12" s="2" t="s">
        <v>989</v>
      </c>
    </row>
    <row r="13" customFormat="false" ht="15" hidden="false" customHeight="false" outlineLevel="0" collapsed="false">
      <c r="A13" s="15" t="s">
        <v>990</v>
      </c>
      <c r="B13" s="13" t="n">
        <f aca="false">F10</f>
        <v>99</v>
      </c>
    </row>
    <row r="14" customFormat="false" ht="15" hidden="false" customHeight="false" outlineLevel="0" collapsed="false">
      <c r="A14" s="15" t="s">
        <v>991</v>
      </c>
      <c r="B14" s="13" t="n">
        <f aca="false">B10+C10</f>
        <v>94</v>
      </c>
    </row>
    <row r="15" customFormat="false" ht="15" hidden="false" customHeight="false" outlineLevel="0" collapsed="false">
      <c r="A15" s="15" t="s">
        <v>992</v>
      </c>
      <c r="B15" s="14" t="n">
        <f aca="false">(B10+C10)/F10</f>
        <v>0.94949494949495</v>
      </c>
    </row>
    <row r="16" customFormat="false" ht="15" hidden="false" customHeight="false" outlineLevel="0" collapsed="false">
      <c r="A16" s="15" t="s">
        <v>993</v>
      </c>
      <c r="B16" s="14" t="n">
        <f aca="false">G10</f>
        <v>0.51063829787234</v>
      </c>
    </row>
    <row r="17" customFormat="false" ht="15" hidden="false" customHeight="false" outlineLevel="0" collapsed="false">
      <c r="A17" s="15" t="s">
        <v>994</v>
      </c>
      <c r="B17" s="13" t="n">
        <f aca="false">COUNTIFS('Cas de test'!$E$2:$E$100,"P1",'Cas de test'!$M$2:$M$100,"Fail")</f>
        <v>17</v>
      </c>
    </row>
    <row r="18" customFormat="false" ht="15" hidden="false" customHeight="false" outlineLevel="0" collapsed="false">
      <c r="A18" s="15" t="s">
        <v>995</v>
      </c>
      <c r="B18" s="13" t="n">
        <f aca="false">COUNTIF('Cas de test'!$E$2:$E$100,"P1")</f>
        <v>33</v>
      </c>
    </row>
    <row r="19" customFormat="false" ht="15" hidden="false" customHeight="false" outlineLevel="0" collapsed="false">
      <c r="A19" s="15" t="s">
        <v>996</v>
      </c>
      <c r="B19" s="13" t="n">
        <f aca="false">COUNTA(Bugs!$A$2:$A$30)</f>
        <v>29</v>
      </c>
    </row>
    <row r="22" customFormat="false" ht="15" hidden="false" customHeight="false" outlineLevel="0" collapsed="false">
      <c r="A22" s="4" t="s">
        <v>911</v>
      </c>
      <c r="B22" s="4" t="s">
        <v>48</v>
      </c>
      <c r="C22" s="4" t="s">
        <v>77</v>
      </c>
      <c r="D22" s="4" t="s">
        <v>151</v>
      </c>
      <c r="E22" s="4" t="s">
        <v>987</v>
      </c>
    </row>
    <row r="23" customFormat="false" ht="15" hidden="false" customHeight="false" outlineLevel="0" collapsed="false">
      <c r="A23" s="10" t="s">
        <v>916</v>
      </c>
      <c r="B23" s="11" t="n">
        <f aca="false">COUNTIFS(Bugs!$E$2:$E$30,$A23,Bugs!$F$2:$F$30,B$22)</f>
        <v>1</v>
      </c>
      <c r="C23" s="11" t="n">
        <f aca="false">COUNTIFS(Bugs!$E$2:$E$30,$A23,Bugs!$F$2:$F$30,C$22)</f>
        <v>0</v>
      </c>
      <c r="D23" s="11" t="n">
        <f aca="false">COUNTIFS(Bugs!$E$2:$E$30,$A23,Bugs!$F$2:$F$30,D$22)</f>
        <v>0</v>
      </c>
      <c r="E23" s="11" t="n">
        <f aca="false">SUM(B23:D23)</f>
        <v>1</v>
      </c>
    </row>
    <row r="24" customFormat="false" ht="15" hidden="false" customHeight="false" outlineLevel="0" collapsed="false">
      <c r="A24" s="10" t="s">
        <v>920</v>
      </c>
      <c r="B24" s="11" t="n">
        <f aca="false">COUNTIFS(Bugs!$E$2:$E$30,$A24,Bugs!$F$2:$F$30,B$22)</f>
        <v>4</v>
      </c>
      <c r="C24" s="11" t="n">
        <f aca="false">COUNTIFS(Bugs!$E$2:$E$30,$A24,Bugs!$F$2:$F$30,C$22)</f>
        <v>11</v>
      </c>
      <c r="D24" s="11" t="n">
        <f aca="false">COUNTIFS(Bugs!$E$2:$E$30,$A24,Bugs!$F$2:$F$30,D$22)</f>
        <v>0</v>
      </c>
      <c r="E24" s="11" t="n">
        <f aca="false">SUM(B24:D24)</f>
        <v>15</v>
      </c>
    </row>
    <row r="25" customFormat="false" ht="15" hidden="false" customHeight="false" outlineLevel="0" collapsed="false">
      <c r="A25" s="10" t="s">
        <v>933</v>
      </c>
      <c r="B25" s="11" t="n">
        <f aca="false">COUNTIFS(Bugs!$E$2:$E$30,$A25,Bugs!$F$2:$F$30,B$22)</f>
        <v>0</v>
      </c>
      <c r="C25" s="11" t="n">
        <f aca="false">COUNTIFS(Bugs!$E$2:$E$30,$A25,Bugs!$F$2:$F$30,C$22)</f>
        <v>0</v>
      </c>
      <c r="D25" s="11" t="n">
        <f aca="false">COUNTIFS(Bugs!$E$2:$E$30,$A25,Bugs!$F$2:$F$30,D$22)</f>
        <v>13</v>
      </c>
      <c r="E25" s="11" t="n">
        <f aca="false">SUM(B25:D25)</f>
        <v>13</v>
      </c>
    </row>
    <row r="26" customFormat="false" ht="15" hidden="false" customHeight="false" outlineLevel="0" collapsed="false">
      <c r="A26" s="10" t="s">
        <v>987</v>
      </c>
      <c r="B26" s="13" t="n">
        <f aca="false">SUM(B23:B25)</f>
        <v>5</v>
      </c>
      <c r="C26" s="13" t="n">
        <f aca="false">SUM(C23:C25)</f>
        <v>11</v>
      </c>
      <c r="D26" s="13" t="n">
        <f aca="false">SUM(D23:D25)</f>
        <v>13</v>
      </c>
      <c r="E26" s="13" t="n">
        <f aca="false">SUM(E23:E25)</f>
        <v>29</v>
      </c>
    </row>
    <row r="28" customFormat="false" ht="15" hidden="false" customHeight="false" outlineLevel="0" collapsed="false">
      <c r="A28" s="16" t="s">
        <v>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2026-10-12T19:29:08Z</dcterms:created>
  <dc:creator>openpyxl</dc:creator>
  <dc:description/>
  <dc:language>en-US</dc:language>
  <cp:lastModifiedBy/>
  <dcterms:modified xsi:type="dcterms:W3CDTF">2026-10-12T19:29:08Z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