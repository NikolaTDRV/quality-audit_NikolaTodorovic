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Cas de test" sheetId="2" state="visible" r:id="rId4"/>
    <sheet name="Bugs" sheetId="3" state="visible" r:id="rId5"/>
    <sheet name="Synthèse" sheetId="4" state="visible" r:id="rId6"/>
  </sheets>
  <definedNames>
    <definedName function="false" hidden="true" localSheetId="2" name="_xlnm._FilterDatabase" vbProcedure="false">Bugs!$A$1:$H$9</definedName>
    <definedName function="false" hidden="true" localSheetId="1" name="_xlnm._FilterDatabase" vbProcedure="false">'Cas de test'!$A$1:$O$25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<sst xmlns="http://schemas.openxmlformats.org/spreadsheetml/2006/main" count="498" uniqueCount="304">
  <si>
    <t xml:space="preserve">QuickOrder V3.1 — Cas de test et campagne</t>
  </si>
  <si>
    <t xml:space="preserve">Équipe</t>
  </si>
  <si>
    <t xml:space="preserve">Quality audit</t>
  </si>
  <si>
    <t xml:space="preserve">Date de la campagne</t>
  </si>
  <si>
    <t xml:space="preserve">13/10/2026</t>
  </si>
  <si>
    <t xml:space="preserve">Environnement</t>
  </si>
  <si>
    <t xml:space="preserve">QuickOrder V3.1 · base seedée (python seed.py) · http://127.0.0.1:5000 · Chromium (Playwright) · requests / curl · Python 3.13 · SQLite</t>
  </si>
  <si>
    <t xml:space="preserve">Onglets</t>
  </si>
  <si>
    <t xml:space="preserve">« Cas de test » (le plan et les résultats) · « Bugs » (index des anomalies) · « Synthèse » (comptages calculés par formules)</t>
  </si>
  <si>
    <t xml:space="preserve">Colonnes</t>
  </si>
  <si>
    <t xml:space="preserve">ID</t>
  </si>
  <si>
    <t xml:space="preserve">TC-&lt;catégorie&gt;-&lt;n°&gt;. NOM = nominal, LIM = limite, ERR = erreur, RM = règle métier (6 cas par catégorie, 24 au total).</t>
  </si>
  <si>
    <t xml:space="preserve">Catégorie</t>
  </si>
  <si>
    <t xml:space="preserve">Nominal · Limite · Erreur · Règle métier.</t>
  </si>
  <si>
    <t xml:space="preserve">Canal</t>
  </si>
  <si>
    <t xml:space="preserve">UI = interface web (Playwright/Chromium) · API = requêtes HTTP (X-API-Key).</t>
  </si>
  <si>
    <t xml:space="preserve">Priorité</t>
  </si>
  <si>
    <t xml:space="preserve">P1 = parcours critique ou règle financière · P2 = important · P3 = confort ou rare.</t>
  </si>
  <si>
    <t xml:space="preserve">Statut</t>
  </si>
  <si>
    <t xml:space="preserve">Pass = résultat conforme · Fail = écart constaté (bug lié) · Blocked / Skipped = non utilisés dans cette campagne.</t>
  </si>
  <si>
    <t xml:space="preserve">Bug lié</t>
  </si>
  <si>
    <t xml:space="preserve">Référence de la fiche dans docs/bug-reports/.</t>
  </si>
  <si>
    <t xml:space="preserve">Preuves</t>
  </si>
  <si>
    <t xml:space="preserve">Fichiers du dossier docs/evidence/ : captures PNG (TC-xx_nn_libellé.png), traces de requêtes/réponses (TC-xx.txt), vidéo (TC-RM-04). Les scripts qui ont produit ces résultats sont dans docs/automation/.</t>
  </si>
  <si>
    <t xml:space="preserve">Jeu de données</t>
  </si>
  <si>
    <t xml:space="preserve">Comptes</t>
  </si>
  <si>
    <t xml:space="preserve">alice@example.com / Password123! · bob@example.com / Password123! · admin@quickorder.local / Admin123! · clé API : quickorder-demo-key (agit comme Alice).</t>
  </si>
  <si>
    <t xml:space="preserve">Restaurants (id)</t>
  </si>
  <si>
    <t xml:space="preserve">1 Burger Factory (min 20 €, livraison 2,99 €) · 2 Tokyo Bowl (15 €, 3,49 €) · 3 Green Kitchen (12 €, 1,99 €) · 4 Pizza Roma (12 €, 2,49 €) · 5 Couscous Atlas (25 €, 2,99 €) · 6 Night Sushi (FERMÉ, 10 €, 2,99 €).</t>
  </si>
  <si>
    <t xml:space="preserve">Produits clés (id)</t>
  </si>
  <si>
    <t xml:space="preserve">1 Classic Burger 11,90 € · 3 Frites maison 3,50 € · 4 Veggie Burger (stock 0) · 6 Chicken Teriyaki 13,50 € · 7 Salmon Bowl 15,90 € (stock 2) · 20 Couscous Royal 17,90 € · 24 Late Sushi Box (restaurant fermé) 14,00 €.</t>
  </si>
  <si>
    <t xml:space="preserve">Coupons</t>
  </si>
  <si>
    <t xml:space="preserve">WELCOME10 10 % (min 20 €, plafond 8 €) · SAVE20 20 % (min 35 €, plafond 12 €) · LUNCH5 5 % (min 10 €, plafond 5 €) · TOKYO30 100 % plafonné à 3,49 € (min 30 €) · ATLAS15 10 % (min 20 €, plafond 50 €) · EXPIRED10 expiré.</t>
  </si>
  <si>
    <t xml:space="preserve">Commande existante</t>
  </si>
  <si>
    <t xml:space="preserve">#1 d'Alice, statut delivered (Classic Burger + Frites maison, 18,39 €).</t>
  </si>
  <si>
    <t xml:space="preserve">Module</t>
  </si>
  <si>
    <t xml:space="preserve">Titre</t>
  </si>
  <si>
    <t xml:space="preserve">Objectif</t>
  </si>
  <si>
    <t xml:space="preserve">Préconditions</t>
  </si>
  <si>
    <t xml:space="preserve">Données</t>
  </si>
  <si>
    <t xml:space="preserve">Étapes</t>
  </si>
  <si>
    <t xml:space="preserve">Résultat attendu</t>
  </si>
  <si>
    <t xml:space="preserve">Résultat obtenu</t>
  </si>
  <si>
    <t xml:space="preserve">Preuves (docs/evidence/)</t>
  </si>
  <si>
    <t xml:space="preserve">TC-NOM-01</t>
  </si>
  <si>
    <t xml:space="preserve">Nominal</t>
  </si>
  <si>
    <t xml:space="preserve">Authentification</t>
  </si>
  <si>
    <t xml:space="preserve">UI</t>
  </si>
  <si>
    <t xml:space="preserve">P1</t>
  </si>
  <si>
    <t xml:space="preserve">Connexion avec un compte valide</t>
  </si>
  <si>
    <t xml:space="preserve">Vérifier la connexion d'un client existant.</t>
  </si>
  <si>
    <t xml:space="preserve">Base seedée (python seed.py), application lancée</t>
  </si>
  <si>
    <t xml:space="preserve">alice@example.com / Password123!</t>
  </si>
  <si>
    <t xml:space="preserve">1. Ouvrir /login
2. Saisir les identifiants
3. Cliquer sur « Se connecter »</t>
  </si>
  <si>
    <t xml:space="preserve">Redirection vers l'accueil ; « Alice Martin », « Commandes » et « Mon profil » apparaissent.</t>
  </si>
  <si>
    <t xml:space="preserve">Connexion réussie, redirection vers l'accueil, lien Déconnexion visible.</t>
  </si>
  <si>
    <t xml:space="preserve">Pass</t>
  </si>
  <si>
    <t xml:space="preserve">TC-NOM-01_01_connecte.png</t>
  </si>
  <si>
    <t xml:space="preserve">TC-NOM-02</t>
  </si>
  <si>
    <t xml:space="preserve">Panier</t>
  </si>
  <si>
    <t xml:space="preserve">Ajouter un produit au panier</t>
  </si>
  <si>
    <t xml:space="preserve">Vérifier l'ajout et le calcul du total.</t>
  </si>
  <si>
    <t xml:space="preserve">Base seedée (python seed.py), application lancée ; panier vide</t>
  </si>
  <si>
    <t xml:space="preserve">Classic Burger (id 1, 11,90 €), quantité 1</t>
  </si>
  <si>
    <t xml:space="preserve">1. Ouvrir le menu de Burger Factory
2. Cliquer sur « Ajouter » pour Classic Burger
3. Ouvrir /cart</t>
  </si>
  <si>
    <t xml:space="preserve">Message « Classic Burger ajouté au panier. » ; panier : sous-total 11,90 €, livraison 2,99 €, total 14,89 €.</t>
  </si>
  <si>
    <t xml:space="preserve">Message de confirmation ; panier : sous-total 11,90 €, livraison 2,99 €, total 14,89 €.</t>
  </si>
  <si>
    <t xml:space="preserve">TC-NOM-02_01_apres_ajout.png
TC-NOM-02_02_panier.png
TC-NOM-02.txt</t>
  </si>
  <si>
    <t xml:space="preserve">TC-NOM-03</t>
  </si>
  <si>
    <t xml:space="preserve">Commande</t>
  </si>
  <si>
    <t xml:space="preserve">Commande complète par carte avec coupon WELCOME10</t>
  </si>
  <si>
    <t xml:space="preserve">Valider le parcours critique achat de bout en bout.</t>
  </si>
  <si>
    <t xml:space="preserve">Base seedée (python seed.py), application lancée ; Alice connectée ; panier : 2 × Classic Burger (23,80 €)</t>
  </si>
  <si>
    <t xml:space="preserve">Coupon WELCOME10 ; paiement Carte bancaire ; adresse par défaut</t>
  </si>
  <si>
    <t xml:space="preserve">1. Ouvrir /checkout
2. Saisir WELCOME10 et cliquer sur « Appliquer »
3. Choisir Carte bancaire
4. Cliquer sur « Confirmer »</t>
  </si>
  <si>
    <t xml:space="preserve">Réduction de 2,38 € (10 % de 23,80 €) ; total 24,41 € (23,80 − 2,38 + 2,99).</t>
  </si>
  <si>
    <t xml:space="preserve">Commande #2 confirmée ; réduction 2,38 € ; total 24.41 €.</t>
  </si>
  <si>
    <t xml:space="preserve">TC-NOM-03_01_checkout.png
TC-NOM-03_02_recap_coupon.png
TC-NOM-03_03_commande_confirmee.png
TC-NOM-03.txt</t>
  </si>
  <si>
    <t xml:space="preserve">TC-NOM-04</t>
  </si>
  <si>
    <t xml:space="preserve">P2</t>
  </si>
  <si>
    <t xml:space="preserve">Annuler une commande confirmée</t>
  </si>
  <si>
    <t xml:space="preserve">Vérifier l'annulation par le client.</t>
  </si>
  <si>
    <t xml:space="preserve">Base seedée (python seed.py), application lancée ; Alice a une commande « confirmed »</t>
  </si>
  <si>
    <t xml:space="preserve">Commande créée en TC-NOM-07</t>
  </si>
  <si>
    <t xml:space="preserve">1. Ouvrir le détail de la commande
2. Cliquer sur « Annuler la commande »</t>
  </si>
  <si>
    <t xml:space="preserve">Statut « cancelled » et message « Commande annulée. ».</t>
  </si>
  <si>
    <t xml:space="preserve">Commande #2 passée à l'état annulé (badge « cancelled »).</t>
  </si>
  <si>
    <t xml:space="preserve">TC-NOM-04_01_annulee.png
TC-NOM-04.txt</t>
  </si>
  <si>
    <t xml:space="preserve">TC-NOM-05</t>
  </si>
  <si>
    <t xml:space="preserve">API</t>
  </si>
  <si>
    <t xml:space="preserve">Lister les restaurants avec une clé valide</t>
  </si>
  <si>
    <t xml:space="preserve">Vérifier GET /api/restaurants.</t>
  </si>
  <si>
    <t xml:space="preserve">Base seedée (python seed.py), application lancée ; clé quickorder-demo-key</t>
  </si>
  <si>
    <t xml:space="preserve">Header X-API-Key: quickorder-demo-key</t>
  </si>
  <si>
    <t xml:space="preserve">1. GET /api/restaurants avec la clé</t>
  </si>
  <si>
    <t xml:space="preserve">200 ; count = 6 ; items triés par note décroissante avec tous les champs documentés.</t>
  </si>
  <si>
    <t xml:space="preserve">200 et 6 restaurants au format JSON.</t>
  </si>
  <si>
    <t xml:space="preserve">TC-NOM-05.txt</t>
  </si>
  <si>
    <t xml:space="preserve">TC-NOM-06</t>
  </si>
  <si>
    <t xml:space="preserve">Créer une commande par carte via l'API</t>
  </si>
  <si>
    <t xml:space="preserve">Vérifier POST /api/orders nominal.</t>
  </si>
  <si>
    <t xml:space="preserve">Base seedée (python seed.py), application lancée ; clé valide</t>
  </si>
  <si>
    <t xml:space="preserve">{"items":[{"product_id":1,"quantity":1}],"payment_method":"card"}</t>
  </si>
  <si>
    <t xml:space="preserve">1. POST /api/orders avec le corps ci-dessus</t>
  </si>
  <si>
    <t xml:space="preserve">201 ; status « confirmed », payment_status « paid », total 14,89, 1 ligne d'article.</t>
  </si>
  <si>
    <t xml:space="preserve">201, commande confirmée, total 14,89 €.</t>
  </si>
  <si>
    <t xml:space="preserve">TC-NOM-06.txt</t>
  </si>
  <si>
    <t xml:space="preserve">TC-LIM-01</t>
  </si>
  <si>
    <t xml:space="preserve">Limite</t>
  </si>
  <si>
    <t xml:space="preserve">Coupon : sous-total exactement égal au minimum</t>
  </si>
  <si>
    <t xml:space="preserve">Vérifier que le minimum est inclusif.</t>
  </si>
  <si>
    <t xml:space="preserve">{"code":"WELCOME10","subtotal":20.00}</t>
  </si>
  <si>
    <t xml:space="preserve">1. POST /api/coupons/validate</t>
  </si>
  <si>
    <t xml:space="preserve">200 ; valid = true ; discount = 2.0.</t>
  </si>
  <si>
    <t xml:space="preserve">Coupon valide, réduction 2,00 € (10 % de 20 €).</t>
  </si>
  <si>
    <t xml:space="preserve">TC-LIM-01.txt</t>
  </si>
  <si>
    <t xml:space="preserve">TC-LIM-02</t>
  </si>
  <si>
    <t xml:space="preserve">Coupon : sous-total juste sous le minimum</t>
  </si>
  <si>
    <t xml:space="preserve">Vérifier le refus à 19,99 €.</t>
  </si>
  <si>
    <t xml:space="preserve">{"code":"WELCOME10","subtotal":19.99}</t>
  </si>
  <si>
    <t xml:space="preserve">Réduction refusée avec message explicite et minimum rappelé.</t>
  </si>
  <si>
    <t xml:space="preserve">Coupon refusé : minimum 20 € non atteint.</t>
  </si>
  <si>
    <t xml:space="preserve">TC-LIM-02.txt</t>
  </si>
  <si>
    <t xml:space="preserve">TC-LIM-03</t>
  </si>
  <si>
    <t xml:space="preserve">Coupon : plafond de réduction</t>
  </si>
  <si>
    <t xml:space="preserve">Vérifier max_discount de WELCOME10 (8 €).</t>
  </si>
  <si>
    <t xml:space="preserve">{"code":"WELCOME10","subtotal":100}</t>
  </si>
  <si>
    <t xml:space="preserve">Réduction plafonnée à 8,00 € (max_discount de WELCOME10).</t>
  </si>
  <si>
    <t xml:space="preserve">TC-LIM-03.txt</t>
  </si>
  <si>
    <t xml:space="preserve">TC-LIM-04</t>
  </si>
  <si>
    <t xml:space="preserve">Quantité API : 20 acceptée, 21 refusée</t>
  </si>
  <si>
    <t xml:space="preserve">Vérifier la borne haute documentée (1 à 20).</t>
  </si>
  <si>
    <t xml:space="preserve">product_id 1 ; quantity 20 puis 21</t>
  </si>
  <si>
    <t xml:space="preserve">1. POST /api/orders avec quantity 20
2. POST /api/orders avec quantity 21</t>
  </si>
  <si>
    <t xml:space="preserve">20 → 201 ; 21 → 400 « quantity must be between 1 and 20 ».</t>
  </si>
  <si>
    <t xml:space="preserve">20 → 201 ; 21 → 400.</t>
  </si>
  <si>
    <t xml:space="preserve">TC-LIM-04.txt</t>
  </si>
  <si>
    <t xml:space="preserve">TC-LIM-05</t>
  </si>
  <si>
    <t xml:space="preserve">Quantité API : 0 et valeurs négatives</t>
  </si>
  <si>
    <t xml:space="preserve">Vérifier la borne basse.</t>
  </si>
  <si>
    <t xml:space="preserve">quantity 0, -1 et "abc"</t>
  </si>
  <si>
    <t xml:space="preserve">1. POST /api/orders avec chaque valeur</t>
  </si>
  <si>
    <t xml:space="preserve">400 pour chaque valeur.</t>
  </si>
  <si>
    <t xml:space="preserve">0, -1 et « abc » → 400.</t>
  </si>
  <si>
    <t xml:space="preserve">TC-LIM-05.txt</t>
  </si>
  <si>
    <t xml:space="preserve">TC-LIM-06</t>
  </si>
  <si>
    <t xml:space="preserve">Stock</t>
  </si>
  <si>
    <t xml:space="preserve">Quantité supérieure au stock disponible</t>
  </si>
  <si>
    <t xml:space="preserve">Vérifier le contrôle de stock à l'ajout et à la commande.</t>
  </si>
  <si>
    <t xml:space="preserve">Base seedée (python seed.py), application lancée ; Alice connectée</t>
  </si>
  <si>
    <t xml:space="preserve">Salmon Bowl (id 7, stock 2) ; quantité 3</t>
  </si>
  <si>
    <t xml:space="preserve">1. Ouvrir le menu de Tokyo Bowl
2. Retirer l'attribut `max` du champ quantité (DevTools)
3. Ajouter 3 Salmon Bowl
4. Passer commande par carte
5. Relire le stock sur le menu</t>
  </si>
  <si>
    <t xml:space="preserve">Ajout ou commande refusé (stock insuffisant) ; stock jamais négatif.</t>
  </si>
  <si>
    <t xml:space="preserve">Quantité 3 acceptée au panier pour un stock de 2 (sous-total 47.70 €), commande #2 confirmée, stock final -1.</t>
  </si>
  <si>
    <t xml:space="preserve">Fail</t>
  </si>
  <si>
    <t xml:space="preserve">BUG-004</t>
  </si>
  <si>
    <t xml:space="preserve">TC-LIM-06_01_panier_3_pour_stock_2.png
TC-LIM-06_02_commande_3_pour_stock_2.png
TC-LIM-06_03_stock_apres_commande.png
TC-LIM-06.txt</t>
  </si>
  <si>
    <t xml:space="preserve">TC-ERR-01</t>
  </si>
  <si>
    <t xml:space="preserve">Erreur</t>
  </si>
  <si>
    <t xml:space="preserve">Connexion avec un mot de passe incorrect</t>
  </si>
  <si>
    <t xml:space="preserve">Vérifier le message d'erreur générique.</t>
  </si>
  <si>
    <t xml:space="preserve">alice@example.com / MauvaisMdp1!</t>
  </si>
  <si>
    <t xml:space="preserve">1. Ouvrir /login
2. Saisir les identifiants
3. Valider</t>
  </si>
  <si>
    <t xml:space="preserve">Message « Email ou mot de passe incorrect. », pas de connexion.</t>
  </si>
  <si>
    <t xml:space="preserve">Message « Email ou mot de passe incorrect », pas de connexion.</t>
  </si>
  <si>
    <t xml:space="preserve">TC-ERR-01_01_echec_connexion.png</t>
  </si>
  <si>
    <t xml:space="preserve">TC-ERR-02</t>
  </si>
  <si>
    <t xml:space="preserve">API sans clé</t>
  </si>
  <si>
    <t xml:space="preserve">Vérifier le refus sans X-API-Key.</t>
  </si>
  <si>
    <t xml:space="preserve">Aucun header</t>
  </si>
  <si>
    <t xml:space="preserve">1. GET /api/restaurants sans header</t>
  </si>
  <si>
    <t xml:space="preserve">401 avec corps JSON explicite.</t>
  </si>
  <si>
    <t xml:space="preserve">401 Unauthorized.</t>
  </si>
  <si>
    <t xml:space="preserve">TC-ERR-02.txt</t>
  </si>
  <si>
    <t xml:space="preserve">TC-ERR-03</t>
  </si>
  <si>
    <t xml:space="preserve">Administration</t>
  </si>
  <si>
    <t xml:space="preserve">Accès admin par un client</t>
  </si>
  <si>
    <t xml:space="preserve">Vérifier le contrôle d'accès à /admin/.</t>
  </si>
  <si>
    <t xml:space="preserve">URL : /admin/</t>
  </si>
  <si>
    <t xml:space="preserve">1. Ouvrir /admin/ en tant qu'Alice</t>
  </si>
  <si>
    <t xml:space="preserve">Refus avec message ; aucune donnée d'administration visible.</t>
  </si>
  <si>
    <t xml:space="preserve">Redirection avec « Accès réservé aux administrateurs ».</t>
  </si>
  <si>
    <t xml:space="preserve">TC-ERR-03_01_admin_client.png</t>
  </si>
  <si>
    <t xml:space="preserve">TC-ERR-04</t>
  </si>
  <si>
    <t xml:space="preserve">Consulter la commande d'un autre client</t>
  </si>
  <si>
    <t xml:space="preserve">Vérifier l'absence de fuite entre comptes.</t>
  </si>
  <si>
    <t xml:space="preserve">Base seedée (python seed.py), application lancée ; Bob connecté</t>
  </si>
  <si>
    <t xml:space="preserve">URL : /orders/1 (commande d'Alice)</t>
  </si>
  <si>
    <t xml:space="preserve">1. Se connecter en tant que Bob
2. Ouvrir /orders/1</t>
  </si>
  <si>
    <t xml:space="preserve">Accès refusé.</t>
  </si>
  <si>
    <t xml:space="preserve">« Commande inaccessible », contenu non affiché.</t>
  </si>
  <si>
    <t xml:space="preserve">TC-ERR-04_01_commande_autrui.png</t>
  </si>
  <si>
    <t xml:space="preserve">TC-ERR-05</t>
  </si>
  <si>
    <t xml:space="preserve">API coupon : sous-total « NaN », « Infinity » ou 1e999</t>
  </si>
  <si>
    <t xml:space="preserve">Vérifier la robustesse face aux valeurs spéciales.</t>
  </si>
  <si>
    <t xml:space="preserve">{"code":"WELCOME10","subtotal":"NaN"} ; idem "Infinity" ; "1e999"</t>
  </si>
  <si>
    <t xml:space="preserve">1. POST /api/coupons/validate avec chaque valeur</t>
  </si>
  <si>
    <t xml:space="preserve">400 JSON explicite.</t>
  </si>
  <si>
    <t xml:space="preserve">Codes obtenus [500, 500, 500] (valeurs non finies : 500 ou acceptées)</t>
  </si>
  <si>
    <t xml:space="preserve">BUG-007</t>
  </si>
  <si>
    <t xml:space="preserve">TC-ERR-05.txt</t>
  </si>
  <si>
    <t xml:space="preserve">TC-ERR-06</t>
  </si>
  <si>
    <t xml:space="preserve">Redirection après connexion vers un site externe (paramètre next)</t>
  </si>
  <si>
    <t xml:space="preserve">Vérifier que next n'accepte que des chemins internes.</t>
  </si>
  <si>
    <t xml:space="preserve">/login?next=https://example.org ; alice@example.com / Password123!</t>
  </si>
  <si>
    <t xml:space="preserve">1. Ouvrir /login?next=https://example.org
2. Se connecter</t>
  </si>
  <si>
    <t xml:space="preserve">Redirection vers une page interne (accueil).</t>
  </si>
  <si>
    <t xml:space="preserve">Après connexion, le navigateur est envoyé vers https://example.org/ (redirection ouverte via ?next=).</t>
  </si>
  <si>
    <t xml:space="preserve">BUG-008</t>
  </si>
  <si>
    <t xml:space="preserve">TC-ERR-06_01_apres_connexion.png
TC-ERR-06.txt</t>
  </si>
  <si>
    <t xml:space="preserve">TC-RM-01</t>
  </si>
  <si>
    <t xml:space="preserve">Règle métier</t>
  </si>
  <si>
    <t xml:space="preserve">Restaurant fermé non commandable (web)</t>
  </si>
  <si>
    <t xml:space="preserve">Vérifier qu'on ne peut pas commander chez un restaurant fermé.</t>
  </si>
  <si>
    <t xml:space="preserve">Night Sushi (fermé) ; Late Sushi Box (id 24, 14,00 €)</t>
  </si>
  <si>
    <t xml:space="preserve">1. Ouvrir le menu de Night Sushi
2. Ajouter Late Sushi Box
3. Passer commande par carte</t>
  </si>
  <si>
    <t xml:space="preserve">Ajout ou commande refusé avec message « restaurant fermé ».</t>
  </si>
  <si>
    <t xml:space="preserve">Commande 2 confirmée chez Night Sushi (FERMÉ) pour 14,00 €.</t>
  </si>
  <si>
    <t xml:space="preserve">BUG-002</t>
  </si>
  <si>
    <t xml:space="preserve">TC-RM-01_01_menu_restaurant_ferme.png
TC-RM-01_02_resultat_checkout.png
TC-RM-01.txt</t>
  </si>
  <si>
    <t xml:space="preserve">TC-RM-02</t>
  </si>
  <si>
    <t xml:space="preserve">Commande minimum (web)</t>
  </si>
  <si>
    <t xml:space="preserve">Vérifier le minimum de commande de Burger Factory (20,00 €).</t>
  </si>
  <si>
    <t xml:space="preserve">1 × Frites maison (3,50 €)</t>
  </si>
  <si>
    <t xml:space="preserve">1. Ajouter Frites maison au panier
2. Passer commande par carte</t>
  </si>
  <si>
    <t xml:space="preserve">Refus : « minimum de commande de 20,00 € non atteint ».</t>
  </si>
  <si>
    <t xml:space="preserve">Commande confirmée pour 3.50 € de produits (minimum du restaurant : 20 €).</t>
  </si>
  <si>
    <t xml:space="preserve">BUG-005</t>
  </si>
  <si>
    <t xml:space="preserve">TC-RM-02_01_resultat.png</t>
  </si>
  <si>
    <t xml:space="preserve">TC-RM-03</t>
  </si>
  <si>
    <t xml:space="preserve">Paiement</t>
  </si>
  <si>
    <t xml:space="preserve">Paiement en espèces avec montant insuffisant (web)</t>
  </si>
  <si>
    <t xml:space="preserve">Vérifier le refus d'un montant remis inférieur au total.</t>
  </si>
  <si>
    <t xml:space="preserve">Base seedée (python seed.py), application lancée ; Alice connectée ; panier : 1 × Classic Burger (total 14,89 €)</t>
  </si>
  <si>
    <t xml:space="preserve">Espèces ; montant remis 1,00 €</t>
  </si>
  <si>
    <t xml:space="preserve">1. Ouvrir /checkout
2. Choisir Espèces et saisir 1,00
3. Confirmer
4. Rejouer en laissant le montant vide</t>
  </si>
  <si>
    <t xml:space="preserve">Refus avec message ; aucune commande.</t>
  </si>
  <si>
    <t xml:space="preserve">Commande acceptée avec 1,00 € remis pour 14,89 € (monnaie négative affichée) ; un montant vide est accepté aussi : True.</t>
  </si>
  <si>
    <t xml:space="preserve">BUG-003</t>
  </si>
  <si>
    <t xml:space="preserve">TC-RM-03_01_cash_1_euro.png
TC-RM-03_02_resultat.png
TC-RM-03_03_cash_vide.png
TC-RM-03.txt</t>
  </si>
  <si>
    <t xml:space="preserve">TC-RM-04</t>
  </si>
  <si>
    <t xml:space="preserve">Paiement PayPal : une seule commande (web)</t>
  </si>
  <si>
    <t xml:space="preserve">Vérifier qu'un paiement crée une unique commande.</t>
  </si>
  <si>
    <t xml:space="preserve">Base seedée (python seed.py), application lancée ; Alice connectée ; panier : 1 × Classic Burger ; 1 commande existante (#1)</t>
  </si>
  <si>
    <t xml:space="preserve">PayPal</t>
  </si>
  <si>
    <t xml:space="preserve">1. Ouvrir /checkout
2. Choisir PayPal
3. Confirmer
4. Ouvrir /orders</t>
  </si>
  <si>
    <t xml:space="preserve">Une seule nouvelle commande ; stock décrémenté de 1.</t>
  </si>
  <si>
    <t xml:space="preserve">2 commandes créées pour un seul paiement PayPal ([2, 3]).</t>
  </si>
  <si>
    <t xml:space="preserve">BUG-001</t>
  </si>
  <si>
    <t xml:space="preserve">TC-RM-04_01_commande_paypal.png
TC-RM-04_02_liste_commandes.png
TC-RM-04_paypal_double_commande.webm
TC-RM-04.txt</t>
  </si>
  <si>
    <t xml:space="preserve">TC-RM-05</t>
  </si>
  <si>
    <t xml:space="preserve">ATLAS15 : 15 % annoncé</t>
  </si>
  <si>
    <t xml:space="preserve">Vérifier que la remise correspond à l'offre affichée.</t>
  </si>
  <si>
    <t xml:space="preserve">Base seedée (python seed.py), application lancée ; Alice connectée ; panier : 2 × Couscous Royal (35,80 €)</t>
  </si>
  <si>
    <t xml:space="preserve">Coupon ATLAS15</t>
  </si>
  <si>
    <t xml:space="preserve">1. Lire l'offre « 15 % de réduction » sur la fiche du restaurant
2. Appliquer ATLAS15 au checkout</t>
  </si>
  <si>
    <t xml:space="preserve">Remise de 5,37 € (15 %) ; total 33,42 €.</t>
  </si>
  <si>
    <t xml:space="preserve">Offre annoncée « -15 % » mais réduction de 3.58 € sur 35.80 € (= 10 %), au lieu de 5.37 €.</t>
  </si>
  <si>
    <t xml:space="preserve">BUG-006</t>
  </si>
  <si>
    <t xml:space="preserve">TC-RM-05_01_offre_annoncee.png
TC-RM-05_02_recap.png
TC-RM-05.txt</t>
  </si>
  <si>
    <t xml:space="preserve">TC-RM-06</t>
  </si>
  <si>
    <t xml:space="preserve">TOKYO30 : livraison offerte chez Tokyo Bowl</t>
  </si>
  <si>
    <t xml:space="preserve">Vérifier le coupon de livraison gratuite dès 30 €.</t>
  </si>
  <si>
    <t xml:space="preserve">Base seedée (python seed.py), application lancée ; Alice connectée ; panier : 3 × Chicken Teriyaki (40,50 €)</t>
  </si>
  <si>
    <t xml:space="preserve">Coupon TOKYO30</t>
  </si>
  <si>
    <t xml:space="preserve">1. Appliquer TOKYO30 au checkout</t>
  </si>
  <si>
    <t xml:space="preserve">Remise 3,49 € (= frais), total 40,50 €.</t>
  </si>
  <si>
    <t xml:space="preserve">Livraison offerte : réduction 3,49 €, total = sous-total.</t>
  </si>
  <si>
    <t xml:space="preserve">TC-RM-06_01_recap_tokyo30.png
TC-RM-06.txt</t>
  </si>
  <si>
    <t xml:space="preserve">Sévérité</t>
  </si>
  <si>
    <t xml:space="preserve">Cas de test liés</t>
  </si>
  <si>
    <t xml:space="preserve">Le paiement PayPal crée deux commandes identiques (web et API)</t>
  </si>
  <si>
    <t xml:space="preserve">UI + API</t>
  </si>
  <si>
    <t xml:space="preserve">Paiement / Commande</t>
  </si>
  <si>
    <t xml:space="preserve">Critique</t>
  </si>
  <si>
    <t xml:space="preserve">Ouvert</t>
  </si>
  <si>
    <t xml:space="preserve">Un restaurant fermé peut recevoir des commandes (web et API)</t>
  </si>
  <si>
    <t xml:space="preserve">Majeure</t>
  </si>
  <si>
    <t xml:space="preserve">Le paiement en espèces accepte un montant inférieur au total (monnaie négative)</t>
  </si>
  <si>
    <t xml:space="preserve">Contrôles de stock défaillants : quantité supérieure au stock et produit en rupture commandables</t>
  </si>
  <si>
    <t xml:space="preserve">Stock / Panier</t>
  </si>
  <si>
    <t xml:space="preserve">Le minimum de commande du restaurant n'est pas appliqué (web et API)</t>
  </si>
  <si>
    <t xml:space="preserve">ATLAS15 est annoncé à 15 % mais appliqué à 10 %</t>
  </si>
  <si>
    <t xml:space="preserve">API : des entrées mal formées provoquent des erreurs 500 (traceback exposé)</t>
  </si>
  <si>
    <t xml:space="preserve">API / Robustesse</t>
  </si>
  <si>
    <t xml:space="preserve">Redirection ouverte après connexion (paramètre `next`)</t>
  </si>
  <si>
    <t xml:space="preserve">Authentification / Sécurité</t>
  </si>
  <si>
    <t xml:space="preserve">Synthèse de la campagne (calculée)</t>
  </si>
  <si>
    <t xml:space="preserve">Tous les chiffres sont calculés par formules à partir des onglets « Cas de test » et « Bugs ».</t>
  </si>
  <si>
    <t xml:space="preserve">Blocked</t>
  </si>
  <si>
    <t xml:space="preserve">Skipped</t>
  </si>
  <si>
    <t xml:space="preserve">Total</t>
  </si>
  <si>
    <t xml:space="preserve">Taux de réussite</t>
  </si>
  <si>
    <t xml:space="preserve">Indicateurs</t>
  </si>
  <si>
    <t xml:space="preserve">Cas de test prévus</t>
  </si>
  <si>
    <t xml:space="preserve">Cas exécutés (Pass + Fail)</t>
  </si>
  <si>
    <t xml:space="preserve">Taux d'exécution</t>
  </si>
  <si>
    <t xml:space="preserve">Taux de réussite (Pass / exécutés)</t>
  </si>
  <si>
    <t xml:space="preserve">Cas P1 en échec</t>
  </si>
  <si>
    <t xml:space="preserve">Cas P1 au total</t>
  </si>
  <si>
    <t xml:space="preserve">Bugs ouverts</t>
  </si>
  <si>
    <t xml:space="preserve">P3</t>
  </si>
  <si>
    <t xml:space="preserve">Mineure</t>
  </si>
  <si>
    <t xml:space="preserve">Recommandation : NO-GO (voir docs/execution-report.md)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</si>
</sst>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/>
      <c r="B7" s="3"/>
    </row>
    <row r="8" customFormat="false" ht="15" hidden="false" customHeight="false" outlineLevel="0" collapsed="false">
      <c r="A8" s="2" t="s">
        <v>9</v>
      </c>
      <c r="B8" s="3"/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23.8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2" t="s">
        <v>24</v>
      </c>
      <c r="B17" s="3"/>
    </row>
    <row r="18" customFormat="false" ht="23.85" hidden="false" customHeight="false" outlineLevel="0" collapsed="false">
      <c r="A18" s="2" t="s">
        <v>25</v>
      </c>
      <c r="B18" s="3" t="s">
        <v>26</v>
      </c>
    </row>
    <row r="19" customFormat="false" ht="23.85" hidden="false" customHeight="false" outlineLevel="0" collapsed="false">
      <c r="A19" s="2" t="s">
        <v>27</v>
      </c>
      <c r="B19" s="3" t="s">
        <v>28</v>
      </c>
    </row>
    <row r="20" customFormat="false" ht="23.85" hidden="false" customHeight="false" outlineLevel="0" collapsed="false">
      <c r="A20" s="2" t="s">
        <v>29</v>
      </c>
      <c r="B20" s="3" t="s">
        <v>30</v>
      </c>
    </row>
    <row r="21" customFormat="false" ht="23.85" hidden="false" customHeight="false" outlineLevel="0" collapsed="false">
      <c r="A21" s="2" t="s">
        <v>31</v>
      </c>
      <c r="B21" s="3" t="s">
        <v>32</v>
      </c>
    </row>
    <row r="22" customFormat="false" ht="15" hidden="false" customHeight="false" outlineLevel="0" collapsed="false">
      <c r="A22" s="2" t="s">
        <v>33</v>
      </c>
      <c r="B22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36"/>
    <col collapsed="false" customWidth="true" hidden="false" outlineLevel="0" max="9" min="8" style="0" width="34"/>
    <col collapsed="false" customWidth="true" hidden="false" outlineLevel="0" max="10" min="10" style="0" width="46"/>
    <col collapsed="false" customWidth="true" hidden="false" outlineLevel="0" max="11" min="11" style="0" width="42"/>
    <col collapsed="false" customWidth="true" hidden="false" outlineLevel="0" max="12" min="12" style="0" width="46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36"/>
  </cols>
  <sheetData>
    <row r="1" customFormat="false" ht="24" hidden="false" customHeight="true" outlineLevel="0" collapsed="false">
      <c r="A1" s="4" t="s">
        <v>10</v>
      </c>
      <c r="B1" s="4" t="s">
        <v>12</v>
      </c>
      <c r="C1" s="4" t="s">
        <v>35</v>
      </c>
      <c r="D1" s="4" t="s">
        <v>14</v>
      </c>
      <c r="E1" s="4" t="s">
        <v>16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18</v>
      </c>
      <c r="N1" s="4" t="s">
        <v>20</v>
      </c>
      <c r="O1" s="4" t="s">
        <v>43</v>
      </c>
    </row>
    <row r="2" customFormat="false" ht="35.05" hidden="false" customHeight="false" outlineLevel="0" collapsed="false">
      <c r="A2" s="5" t="s">
        <v>44</v>
      </c>
      <c r="B2" s="6" t="s">
        <v>45</v>
      </c>
      <c r="C2" s="7" t="s">
        <v>46</v>
      </c>
      <c r="D2" s="6" t="s">
        <v>47</v>
      </c>
      <c r="E2" s="6" t="s">
        <v>48</v>
      </c>
      <c r="F2" s="7" t="s">
        <v>49</v>
      </c>
      <c r="G2" s="7" t="s">
        <v>50</v>
      </c>
      <c r="H2" s="7" t="s">
        <v>51</v>
      </c>
      <c r="I2" s="7" t="s">
        <v>52</v>
      </c>
      <c r="J2" s="7" t="s">
        <v>53</v>
      </c>
      <c r="K2" s="7" t="s">
        <v>54</v>
      </c>
      <c r="L2" s="7" t="s">
        <v>55</v>
      </c>
      <c r="M2" s="6" t="s">
        <v>56</v>
      </c>
      <c r="N2" s="6"/>
      <c r="O2" s="7" t="s">
        <v>57</v>
      </c>
    </row>
    <row r="3" customFormat="false" ht="35.05" hidden="false" customHeight="false" outlineLevel="0" collapsed="false">
      <c r="A3" s="5" t="s">
        <v>58</v>
      </c>
      <c r="B3" s="6" t="s">
        <v>45</v>
      </c>
      <c r="C3" s="7" t="s">
        <v>59</v>
      </c>
      <c r="D3" s="6" t="s">
        <v>47</v>
      </c>
      <c r="E3" s="6" t="s">
        <v>48</v>
      </c>
      <c r="F3" s="7" t="s">
        <v>60</v>
      </c>
      <c r="G3" s="7" t="s">
        <v>61</v>
      </c>
      <c r="H3" s="7" t="s">
        <v>62</v>
      </c>
      <c r="I3" s="7" t="s">
        <v>63</v>
      </c>
      <c r="J3" s="7" t="s">
        <v>64</v>
      </c>
      <c r="K3" s="7" t="s">
        <v>65</v>
      </c>
      <c r="L3" s="7" t="s">
        <v>66</v>
      </c>
      <c r="M3" s="6" t="s">
        <v>56</v>
      </c>
      <c r="N3" s="6"/>
      <c r="O3" s="7" t="s">
        <v>67</v>
      </c>
    </row>
    <row r="4" customFormat="false" ht="46.25" hidden="false" customHeight="false" outlineLevel="0" collapsed="false">
      <c r="A4" s="5" t="s">
        <v>68</v>
      </c>
      <c r="B4" s="6" t="s">
        <v>45</v>
      </c>
      <c r="C4" s="7" t="s">
        <v>69</v>
      </c>
      <c r="D4" s="6" t="s">
        <v>47</v>
      </c>
      <c r="E4" s="6" t="s">
        <v>48</v>
      </c>
      <c r="F4" s="7" t="s">
        <v>70</v>
      </c>
      <c r="G4" s="7" t="s">
        <v>71</v>
      </c>
      <c r="H4" s="7" t="s">
        <v>72</v>
      </c>
      <c r="I4" s="7" t="s">
        <v>73</v>
      </c>
      <c r="J4" s="7" t="s">
        <v>74</v>
      </c>
      <c r="K4" s="7" t="s">
        <v>75</v>
      </c>
      <c r="L4" s="7" t="s">
        <v>76</v>
      </c>
      <c r="M4" s="6" t="s">
        <v>56</v>
      </c>
      <c r="N4" s="6"/>
      <c r="O4" s="7" t="s">
        <v>77</v>
      </c>
    </row>
    <row r="5" customFormat="false" ht="35.05" hidden="false" customHeight="false" outlineLevel="0" collapsed="false">
      <c r="A5" s="5" t="s">
        <v>78</v>
      </c>
      <c r="B5" s="6" t="s">
        <v>45</v>
      </c>
      <c r="C5" s="7" t="s">
        <v>69</v>
      </c>
      <c r="D5" s="6" t="s">
        <v>47</v>
      </c>
      <c r="E5" s="6" t="s">
        <v>79</v>
      </c>
      <c r="F5" s="7" t="s">
        <v>80</v>
      </c>
      <c r="G5" s="7" t="s">
        <v>81</v>
      </c>
      <c r="H5" s="7" t="s">
        <v>82</v>
      </c>
      <c r="I5" s="7" t="s">
        <v>83</v>
      </c>
      <c r="J5" s="7" t="s">
        <v>84</v>
      </c>
      <c r="K5" s="7" t="s">
        <v>85</v>
      </c>
      <c r="L5" s="7" t="s">
        <v>86</v>
      </c>
      <c r="M5" s="6" t="s">
        <v>56</v>
      </c>
      <c r="N5" s="6"/>
      <c r="O5" s="7" t="s">
        <v>87</v>
      </c>
    </row>
    <row r="6" customFormat="false" ht="35.05" hidden="false" customHeight="false" outlineLevel="0" collapsed="false">
      <c r="A6" s="5" t="s">
        <v>88</v>
      </c>
      <c r="B6" s="6" t="s">
        <v>45</v>
      </c>
      <c r="C6" s="7" t="s">
        <v>89</v>
      </c>
      <c r="D6" s="6" t="s">
        <v>89</v>
      </c>
      <c r="E6" s="6" t="s">
        <v>48</v>
      </c>
      <c r="F6" s="7" t="s">
        <v>90</v>
      </c>
      <c r="G6" s="7" t="s">
        <v>91</v>
      </c>
      <c r="H6" s="7" t="s">
        <v>92</v>
      </c>
      <c r="I6" s="7" t="s">
        <v>93</v>
      </c>
      <c r="J6" s="7" t="s">
        <v>94</v>
      </c>
      <c r="K6" s="7" t="s">
        <v>95</v>
      </c>
      <c r="L6" s="7" t="s">
        <v>96</v>
      </c>
      <c r="M6" s="6" t="s">
        <v>56</v>
      </c>
      <c r="N6" s="6"/>
      <c r="O6" s="7" t="s">
        <v>97</v>
      </c>
    </row>
    <row r="7" customFormat="false" ht="35.05" hidden="false" customHeight="false" outlineLevel="0" collapsed="false">
      <c r="A7" s="5" t="s">
        <v>98</v>
      </c>
      <c r="B7" s="6" t="s">
        <v>45</v>
      </c>
      <c r="C7" s="7" t="s">
        <v>89</v>
      </c>
      <c r="D7" s="6" t="s">
        <v>89</v>
      </c>
      <c r="E7" s="6" t="s">
        <v>48</v>
      </c>
      <c r="F7" s="7" t="s">
        <v>99</v>
      </c>
      <c r="G7" s="7" t="s">
        <v>100</v>
      </c>
      <c r="H7" s="7" t="s">
        <v>101</v>
      </c>
      <c r="I7" s="7" t="s">
        <v>102</v>
      </c>
      <c r="J7" s="7" t="s">
        <v>103</v>
      </c>
      <c r="K7" s="7" t="s">
        <v>104</v>
      </c>
      <c r="L7" s="7" t="s">
        <v>105</v>
      </c>
      <c r="M7" s="6" t="s">
        <v>56</v>
      </c>
      <c r="N7" s="6"/>
      <c r="O7" s="7" t="s">
        <v>106</v>
      </c>
    </row>
    <row r="8" customFormat="false" ht="23.85" hidden="false" customHeight="false" outlineLevel="0" collapsed="false">
      <c r="A8" s="5" t="s">
        <v>107</v>
      </c>
      <c r="B8" s="6" t="s">
        <v>108</v>
      </c>
      <c r="C8" s="7" t="s">
        <v>31</v>
      </c>
      <c r="D8" s="6" t="s">
        <v>89</v>
      </c>
      <c r="E8" s="6" t="s">
        <v>48</v>
      </c>
      <c r="F8" s="7" t="s">
        <v>109</v>
      </c>
      <c r="G8" s="7" t="s">
        <v>110</v>
      </c>
      <c r="H8" s="7" t="s">
        <v>101</v>
      </c>
      <c r="I8" s="7" t="s">
        <v>111</v>
      </c>
      <c r="J8" s="7" t="s">
        <v>112</v>
      </c>
      <c r="K8" s="7" t="s">
        <v>113</v>
      </c>
      <c r="L8" s="7" t="s">
        <v>114</v>
      </c>
      <c r="M8" s="6" t="s">
        <v>56</v>
      </c>
      <c r="N8" s="6"/>
      <c r="O8" s="7" t="s">
        <v>115</v>
      </c>
    </row>
    <row r="9" customFormat="false" ht="23.85" hidden="false" customHeight="false" outlineLevel="0" collapsed="false">
      <c r="A9" s="5" t="s">
        <v>116</v>
      </c>
      <c r="B9" s="6" t="s">
        <v>108</v>
      </c>
      <c r="C9" s="7" t="s">
        <v>31</v>
      </c>
      <c r="D9" s="6" t="s">
        <v>89</v>
      </c>
      <c r="E9" s="6" t="s">
        <v>48</v>
      </c>
      <c r="F9" s="7" t="s">
        <v>117</v>
      </c>
      <c r="G9" s="7" t="s">
        <v>118</v>
      </c>
      <c r="H9" s="7" t="s">
        <v>101</v>
      </c>
      <c r="I9" s="7" t="s">
        <v>119</v>
      </c>
      <c r="J9" s="7" t="s">
        <v>112</v>
      </c>
      <c r="K9" s="7" t="s">
        <v>120</v>
      </c>
      <c r="L9" s="7" t="s">
        <v>121</v>
      </c>
      <c r="M9" s="6" t="s">
        <v>56</v>
      </c>
      <c r="N9" s="6"/>
      <c r="O9" s="7" t="s">
        <v>122</v>
      </c>
    </row>
    <row r="10" customFormat="false" ht="23.85" hidden="false" customHeight="false" outlineLevel="0" collapsed="false">
      <c r="A10" s="5" t="s">
        <v>123</v>
      </c>
      <c r="B10" s="6" t="s">
        <v>108</v>
      </c>
      <c r="C10" s="7" t="s">
        <v>31</v>
      </c>
      <c r="D10" s="6" t="s">
        <v>89</v>
      </c>
      <c r="E10" s="6" t="s">
        <v>79</v>
      </c>
      <c r="F10" s="7" t="s">
        <v>124</v>
      </c>
      <c r="G10" s="7" t="s">
        <v>125</v>
      </c>
      <c r="H10" s="7" t="s">
        <v>101</v>
      </c>
      <c r="I10" s="7" t="s">
        <v>126</v>
      </c>
      <c r="J10" s="7" t="s">
        <v>112</v>
      </c>
      <c r="K10" s="7" t="s">
        <v>127</v>
      </c>
      <c r="L10" s="7" t="s">
        <v>127</v>
      </c>
      <c r="M10" s="6" t="s">
        <v>56</v>
      </c>
      <c r="N10" s="6"/>
      <c r="O10" s="7" t="s">
        <v>128</v>
      </c>
    </row>
    <row r="11" customFormat="false" ht="23.85" hidden="false" customHeight="false" outlineLevel="0" collapsed="false">
      <c r="A11" s="5" t="s">
        <v>129</v>
      </c>
      <c r="B11" s="6" t="s">
        <v>108</v>
      </c>
      <c r="C11" s="7" t="s">
        <v>69</v>
      </c>
      <c r="D11" s="6" t="s">
        <v>89</v>
      </c>
      <c r="E11" s="6" t="s">
        <v>79</v>
      </c>
      <c r="F11" s="7" t="s">
        <v>130</v>
      </c>
      <c r="G11" s="7" t="s">
        <v>131</v>
      </c>
      <c r="H11" s="7" t="s">
        <v>101</v>
      </c>
      <c r="I11" s="7" t="s">
        <v>132</v>
      </c>
      <c r="J11" s="7" t="s">
        <v>133</v>
      </c>
      <c r="K11" s="7" t="s">
        <v>134</v>
      </c>
      <c r="L11" s="7" t="s">
        <v>135</v>
      </c>
      <c r="M11" s="6" t="s">
        <v>56</v>
      </c>
      <c r="N11" s="6"/>
      <c r="O11" s="7" t="s">
        <v>136</v>
      </c>
    </row>
    <row r="12" customFormat="false" ht="23.85" hidden="false" customHeight="false" outlineLevel="0" collapsed="false">
      <c r="A12" s="5" t="s">
        <v>137</v>
      </c>
      <c r="B12" s="6" t="s">
        <v>108</v>
      </c>
      <c r="C12" s="7" t="s">
        <v>69</v>
      </c>
      <c r="D12" s="6" t="s">
        <v>89</v>
      </c>
      <c r="E12" s="6" t="s">
        <v>79</v>
      </c>
      <c r="F12" s="7" t="s">
        <v>138</v>
      </c>
      <c r="G12" s="7" t="s">
        <v>139</v>
      </c>
      <c r="H12" s="7" t="s">
        <v>101</v>
      </c>
      <c r="I12" s="7" t="s">
        <v>140</v>
      </c>
      <c r="J12" s="7" t="s">
        <v>141</v>
      </c>
      <c r="K12" s="7" t="s">
        <v>142</v>
      </c>
      <c r="L12" s="7" t="s">
        <v>143</v>
      </c>
      <c r="M12" s="6" t="s">
        <v>56</v>
      </c>
      <c r="N12" s="6"/>
      <c r="O12" s="7" t="s">
        <v>144</v>
      </c>
    </row>
    <row r="13" customFormat="false" ht="68.65" hidden="false" customHeight="false" outlineLevel="0" collapsed="false">
      <c r="A13" s="5" t="s">
        <v>145</v>
      </c>
      <c r="B13" s="6" t="s">
        <v>108</v>
      </c>
      <c r="C13" s="7" t="s">
        <v>146</v>
      </c>
      <c r="D13" s="6" t="s">
        <v>47</v>
      </c>
      <c r="E13" s="6" t="s">
        <v>48</v>
      </c>
      <c r="F13" s="7" t="s">
        <v>147</v>
      </c>
      <c r="G13" s="7" t="s">
        <v>148</v>
      </c>
      <c r="H13" s="7" t="s">
        <v>149</v>
      </c>
      <c r="I13" s="7" t="s">
        <v>150</v>
      </c>
      <c r="J13" s="7" t="s">
        <v>151</v>
      </c>
      <c r="K13" s="7" t="s">
        <v>152</v>
      </c>
      <c r="L13" s="7" t="s">
        <v>153</v>
      </c>
      <c r="M13" s="6" t="s">
        <v>154</v>
      </c>
      <c r="N13" s="6" t="s">
        <v>155</v>
      </c>
      <c r="O13" s="7" t="s">
        <v>156</v>
      </c>
    </row>
    <row r="14" customFormat="false" ht="35.05" hidden="false" customHeight="false" outlineLevel="0" collapsed="false">
      <c r="A14" s="5" t="s">
        <v>157</v>
      </c>
      <c r="B14" s="6" t="s">
        <v>158</v>
      </c>
      <c r="C14" s="7" t="s">
        <v>46</v>
      </c>
      <c r="D14" s="6" t="s">
        <v>47</v>
      </c>
      <c r="E14" s="6" t="s">
        <v>48</v>
      </c>
      <c r="F14" s="7" t="s">
        <v>159</v>
      </c>
      <c r="G14" s="7" t="s">
        <v>160</v>
      </c>
      <c r="H14" s="7" t="s">
        <v>51</v>
      </c>
      <c r="I14" s="7" t="s">
        <v>161</v>
      </c>
      <c r="J14" s="7" t="s">
        <v>162</v>
      </c>
      <c r="K14" s="7" t="s">
        <v>163</v>
      </c>
      <c r="L14" s="7" t="s">
        <v>164</v>
      </c>
      <c r="M14" s="6" t="s">
        <v>56</v>
      </c>
      <c r="N14" s="6"/>
      <c r="O14" s="7" t="s">
        <v>165</v>
      </c>
    </row>
    <row r="15" customFormat="false" ht="23.85" hidden="false" customHeight="false" outlineLevel="0" collapsed="false">
      <c r="A15" s="5" t="s">
        <v>166</v>
      </c>
      <c r="B15" s="6" t="s">
        <v>158</v>
      </c>
      <c r="C15" s="7" t="s">
        <v>89</v>
      </c>
      <c r="D15" s="6" t="s">
        <v>89</v>
      </c>
      <c r="E15" s="6" t="s">
        <v>48</v>
      </c>
      <c r="F15" s="7" t="s">
        <v>167</v>
      </c>
      <c r="G15" s="7" t="s">
        <v>168</v>
      </c>
      <c r="H15" s="7" t="s">
        <v>51</v>
      </c>
      <c r="I15" s="7" t="s">
        <v>169</v>
      </c>
      <c r="J15" s="7" t="s">
        <v>170</v>
      </c>
      <c r="K15" s="7" t="s">
        <v>171</v>
      </c>
      <c r="L15" s="7" t="s">
        <v>172</v>
      </c>
      <c r="M15" s="6" t="s">
        <v>56</v>
      </c>
      <c r="N15" s="6"/>
      <c r="O15" s="7" t="s">
        <v>173</v>
      </c>
    </row>
    <row r="16" customFormat="false" ht="23.85" hidden="false" customHeight="false" outlineLevel="0" collapsed="false">
      <c r="A16" s="5" t="s">
        <v>174</v>
      </c>
      <c r="B16" s="6" t="s">
        <v>158</v>
      </c>
      <c r="C16" s="7" t="s">
        <v>175</v>
      </c>
      <c r="D16" s="6" t="s">
        <v>47</v>
      </c>
      <c r="E16" s="6" t="s">
        <v>48</v>
      </c>
      <c r="F16" s="7" t="s">
        <v>176</v>
      </c>
      <c r="G16" s="7" t="s">
        <v>177</v>
      </c>
      <c r="H16" s="7" t="s">
        <v>149</v>
      </c>
      <c r="I16" s="7" t="s">
        <v>178</v>
      </c>
      <c r="J16" s="7" t="s">
        <v>179</v>
      </c>
      <c r="K16" s="7" t="s">
        <v>180</v>
      </c>
      <c r="L16" s="7" t="s">
        <v>181</v>
      </c>
      <c r="M16" s="6" t="s">
        <v>56</v>
      </c>
      <c r="N16" s="6"/>
      <c r="O16" s="7" t="s">
        <v>182</v>
      </c>
    </row>
    <row r="17" customFormat="false" ht="23.85" hidden="false" customHeight="false" outlineLevel="0" collapsed="false">
      <c r="A17" s="5" t="s">
        <v>183</v>
      </c>
      <c r="B17" s="6" t="s">
        <v>158</v>
      </c>
      <c r="C17" s="7" t="s">
        <v>69</v>
      </c>
      <c r="D17" s="6" t="s">
        <v>47</v>
      </c>
      <c r="E17" s="6" t="s">
        <v>48</v>
      </c>
      <c r="F17" s="7" t="s">
        <v>184</v>
      </c>
      <c r="G17" s="7" t="s">
        <v>185</v>
      </c>
      <c r="H17" s="7" t="s">
        <v>186</v>
      </c>
      <c r="I17" s="7" t="s">
        <v>187</v>
      </c>
      <c r="J17" s="7" t="s">
        <v>188</v>
      </c>
      <c r="K17" s="7" t="s">
        <v>189</v>
      </c>
      <c r="L17" s="7" t="s">
        <v>190</v>
      </c>
      <c r="M17" s="6" t="s">
        <v>56</v>
      </c>
      <c r="N17" s="6"/>
      <c r="O17" s="7" t="s">
        <v>191</v>
      </c>
    </row>
    <row r="18" customFormat="false" ht="23.85" hidden="false" customHeight="false" outlineLevel="0" collapsed="false">
      <c r="A18" s="5" t="s">
        <v>192</v>
      </c>
      <c r="B18" s="6" t="s">
        <v>158</v>
      </c>
      <c r="C18" s="7" t="s">
        <v>89</v>
      </c>
      <c r="D18" s="6" t="s">
        <v>89</v>
      </c>
      <c r="E18" s="6" t="s">
        <v>48</v>
      </c>
      <c r="F18" s="7" t="s">
        <v>193</v>
      </c>
      <c r="G18" s="7" t="s">
        <v>194</v>
      </c>
      <c r="H18" s="7" t="s">
        <v>101</v>
      </c>
      <c r="I18" s="7" t="s">
        <v>195</v>
      </c>
      <c r="J18" s="7" t="s">
        <v>196</v>
      </c>
      <c r="K18" s="7" t="s">
        <v>197</v>
      </c>
      <c r="L18" s="7" t="s">
        <v>198</v>
      </c>
      <c r="M18" s="6" t="s">
        <v>154</v>
      </c>
      <c r="N18" s="6" t="s">
        <v>199</v>
      </c>
      <c r="O18" s="7" t="s">
        <v>200</v>
      </c>
    </row>
    <row r="19" customFormat="false" ht="23.85" hidden="false" customHeight="false" outlineLevel="0" collapsed="false">
      <c r="A19" s="5" t="s">
        <v>201</v>
      </c>
      <c r="B19" s="6" t="s">
        <v>158</v>
      </c>
      <c r="C19" s="7" t="s">
        <v>46</v>
      </c>
      <c r="D19" s="6" t="s">
        <v>47</v>
      </c>
      <c r="E19" s="6" t="s">
        <v>79</v>
      </c>
      <c r="F19" s="7" t="s">
        <v>202</v>
      </c>
      <c r="G19" s="7" t="s">
        <v>203</v>
      </c>
      <c r="H19" s="7" t="s">
        <v>51</v>
      </c>
      <c r="I19" s="7" t="s">
        <v>204</v>
      </c>
      <c r="J19" s="7" t="s">
        <v>205</v>
      </c>
      <c r="K19" s="7" t="s">
        <v>206</v>
      </c>
      <c r="L19" s="7" t="s">
        <v>207</v>
      </c>
      <c r="M19" s="6" t="s">
        <v>154</v>
      </c>
      <c r="N19" s="6" t="s">
        <v>208</v>
      </c>
      <c r="O19" s="7" t="s">
        <v>209</v>
      </c>
    </row>
    <row r="20" customFormat="false" ht="35.05" hidden="false" customHeight="false" outlineLevel="0" collapsed="false">
      <c r="A20" s="5" t="s">
        <v>210</v>
      </c>
      <c r="B20" s="6" t="s">
        <v>211</v>
      </c>
      <c r="C20" s="7" t="s">
        <v>69</v>
      </c>
      <c r="D20" s="6" t="s">
        <v>47</v>
      </c>
      <c r="E20" s="6" t="s">
        <v>48</v>
      </c>
      <c r="F20" s="7" t="s">
        <v>212</v>
      </c>
      <c r="G20" s="7" t="s">
        <v>213</v>
      </c>
      <c r="H20" s="7" t="s">
        <v>149</v>
      </c>
      <c r="I20" s="7" t="s">
        <v>214</v>
      </c>
      <c r="J20" s="7" t="s">
        <v>215</v>
      </c>
      <c r="K20" s="7" t="s">
        <v>216</v>
      </c>
      <c r="L20" s="7" t="s">
        <v>217</v>
      </c>
      <c r="M20" s="6" t="s">
        <v>154</v>
      </c>
      <c r="N20" s="6" t="s">
        <v>218</v>
      </c>
      <c r="O20" s="7" t="s">
        <v>219</v>
      </c>
    </row>
    <row r="21" customFormat="false" ht="23.85" hidden="false" customHeight="false" outlineLevel="0" collapsed="false">
      <c r="A21" s="5" t="s">
        <v>220</v>
      </c>
      <c r="B21" s="6" t="s">
        <v>211</v>
      </c>
      <c r="C21" s="7" t="s">
        <v>69</v>
      </c>
      <c r="D21" s="6" t="s">
        <v>47</v>
      </c>
      <c r="E21" s="6" t="s">
        <v>48</v>
      </c>
      <c r="F21" s="7" t="s">
        <v>221</v>
      </c>
      <c r="G21" s="7" t="s">
        <v>222</v>
      </c>
      <c r="H21" s="7" t="s">
        <v>149</v>
      </c>
      <c r="I21" s="7" t="s">
        <v>223</v>
      </c>
      <c r="J21" s="7" t="s">
        <v>224</v>
      </c>
      <c r="K21" s="7" t="s">
        <v>225</v>
      </c>
      <c r="L21" s="7" t="s">
        <v>226</v>
      </c>
      <c r="M21" s="6" t="s">
        <v>154</v>
      </c>
      <c r="N21" s="6" t="s">
        <v>227</v>
      </c>
      <c r="O21" s="7" t="s">
        <v>228</v>
      </c>
    </row>
    <row r="22" customFormat="false" ht="46.25" hidden="false" customHeight="false" outlineLevel="0" collapsed="false">
      <c r="A22" s="5" t="s">
        <v>229</v>
      </c>
      <c r="B22" s="6" t="s">
        <v>211</v>
      </c>
      <c r="C22" s="7" t="s">
        <v>230</v>
      </c>
      <c r="D22" s="6" t="s">
        <v>47</v>
      </c>
      <c r="E22" s="6" t="s">
        <v>48</v>
      </c>
      <c r="F22" s="7" t="s">
        <v>231</v>
      </c>
      <c r="G22" s="7" t="s">
        <v>232</v>
      </c>
      <c r="H22" s="7" t="s">
        <v>233</v>
      </c>
      <c r="I22" s="7" t="s">
        <v>234</v>
      </c>
      <c r="J22" s="7" t="s">
        <v>235</v>
      </c>
      <c r="K22" s="7" t="s">
        <v>236</v>
      </c>
      <c r="L22" s="7" t="s">
        <v>237</v>
      </c>
      <c r="M22" s="6" t="s">
        <v>154</v>
      </c>
      <c r="N22" s="6" t="s">
        <v>238</v>
      </c>
      <c r="O22" s="7" t="s">
        <v>239</v>
      </c>
    </row>
    <row r="23" customFormat="false" ht="57.45" hidden="false" customHeight="false" outlineLevel="0" collapsed="false">
      <c r="A23" s="5" t="s">
        <v>240</v>
      </c>
      <c r="B23" s="6" t="s">
        <v>211</v>
      </c>
      <c r="C23" s="7" t="s">
        <v>230</v>
      </c>
      <c r="D23" s="6" t="s">
        <v>47</v>
      </c>
      <c r="E23" s="6" t="s">
        <v>48</v>
      </c>
      <c r="F23" s="7" t="s">
        <v>241</v>
      </c>
      <c r="G23" s="7" t="s">
        <v>242</v>
      </c>
      <c r="H23" s="7" t="s">
        <v>243</v>
      </c>
      <c r="I23" s="7" t="s">
        <v>244</v>
      </c>
      <c r="J23" s="7" t="s">
        <v>245</v>
      </c>
      <c r="K23" s="7" t="s">
        <v>246</v>
      </c>
      <c r="L23" s="7" t="s">
        <v>247</v>
      </c>
      <c r="M23" s="6" t="s">
        <v>154</v>
      </c>
      <c r="N23" s="6" t="s">
        <v>248</v>
      </c>
      <c r="O23" s="7" t="s">
        <v>249</v>
      </c>
    </row>
    <row r="24" customFormat="false" ht="35.05" hidden="false" customHeight="false" outlineLevel="0" collapsed="false">
      <c r="A24" s="5" t="s">
        <v>250</v>
      </c>
      <c r="B24" s="6" t="s">
        <v>211</v>
      </c>
      <c r="C24" s="7" t="s">
        <v>31</v>
      </c>
      <c r="D24" s="6" t="s">
        <v>47</v>
      </c>
      <c r="E24" s="6" t="s">
        <v>48</v>
      </c>
      <c r="F24" s="7" t="s">
        <v>251</v>
      </c>
      <c r="G24" s="7" t="s">
        <v>252</v>
      </c>
      <c r="H24" s="7" t="s">
        <v>253</v>
      </c>
      <c r="I24" s="7" t="s">
        <v>254</v>
      </c>
      <c r="J24" s="7" t="s">
        <v>255</v>
      </c>
      <c r="K24" s="7" t="s">
        <v>256</v>
      </c>
      <c r="L24" s="7" t="s">
        <v>257</v>
      </c>
      <c r="M24" s="6" t="s">
        <v>154</v>
      </c>
      <c r="N24" s="6" t="s">
        <v>258</v>
      </c>
      <c r="O24" s="7" t="s">
        <v>259</v>
      </c>
    </row>
    <row r="25" customFormat="false" ht="35.05" hidden="false" customHeight="false" outlineLevel="0" collapsed="false">
      <c r="A25" s="5" t="s">
        <v>260</v>
      </c>
      <c r="B25" s="6" t="s">
        <v>211</v>
      </c>
      <c r="C25" s="7" t="s">
        <v>31</v>
      </c>
      <c r="D25" s="6" t="s">
        <v>47</v>
      </c>
      <c r="E25" s="6" t="s">
        <v>79</v>
      </c>
      <c r="F25" s="7" t="s">
        <v>261</v>
      </c>
      <c r="G25" s="7" t="s">
        <v>262</v>
      </c>
      <c r="H25" s="7" t="s">
        <v>263</v>
      </c>
      <c r="I25" s="7" t="s">
        <v>264</v>
      </c>
      <c r="J25" s="7" t="s">
        <v>265</v>
      </c>
      <c r="K25" s="7" t="s">
        <v>266</v>
      </c>
      <c r="L25" s="7" t="s">
        <v>267</v>
      </c>
      <c r="M25" s="6" t="s">
        <v>56</v>
      </c>
      <c r="N25" s="6"/>
      <c r="O25" s="7" t="s">
        <v>268</v>
      </c>
    </row>
  </sheetData>
  <autoFilter ref="A1:O25"/>
  <conditionalFormatting sqref="M2:M25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"Skipped"</formula>
    </cfRule>
  </conditionalFormatting>
  <dataValidations count="1">
    <dataValidation allowBlank="false" errorStyle="stop" operator="between" showDropDown="false" showErrorMessage="false" showInputMessage="false" sqref="M2:M25" type="list">
      <formula1>"Pass,Fail,Blocked,Skipped"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4" t="s">
        <v>10</v>
      </c>
      <c r="B1" s="4" t="s">
        <v>36</v>
      </c>
      <c r="C1" s="4" t="s">
        <v>14</v>
      </c>
      <c r="D1" s="4" t="s">
        <v>35</v>
      </c>
      <c r="E1" s="4" t="s">
        <v>269</v>
      </c>
      <c r="F1" s="4" t="s">
        <v>16</v>
      </c>
      <c r="G1" s="4" t="s">
        <v>270</v>
      </c>
      <c r="H1" s="4" t="s">
        <v>18</v>
      </c>
    </row>
    <row r="2" customFormat="false" ht="15" hidden="false" customHeight="false" outlineLevel="0" collapsed="false">
      <c r="A2" s="8" t="s">
        <v>248</v>
      </c>
      <c r="B2" s="7" t="s">
        <v>271</v>
      </c>
      <c r="C2" s="6" t="s">
        <v>272</v>
      </c>
      <c r="D2" s="7" t="s">
        <v>273</v>
      </c>
      <c r="E2" s="6" t="s">
        <v>274</v>
      </c>
      <c r="F2" s="6" t="s">
        <v>48</v>
      </c>
      <c r="G2" s="7" t="s">
        <v>240</v>
      </c>
      <c r="H2" s="6" t="s">
        <v>275</v>
      </c>
    </row>
    <row r="3" customFormat="false" ht="15" hidden="false" customHeight="false" outlineLevel="0" collapsed="false">
      <c r="A3" s="8" t="s">
        <v>218</v>
      </c>
      <c r="B3" s="7" t="s">
        <v>276</v>
      </c>
      <c r="C3" s="6" t="s">
        <v>272</v>
      </c>
      <c r="D3" s="7" t="s">
        <v>69</v>
      </c>
      <c r="E3" s="6" t="s">
        <v>277</v>
      </c>
      <c r="F3" s="6" t="s">
        <v>48</v>
      </c>
      <c r="G3" s="7" t="s">
        <v>210</v>
      </c>
      <c r="H3" s="6" t="s">
        <v>275</v>
      </c>
    </row>
    <row r="4" customFormat="false" ht="15" hidden="false" customHeight="false" outlineLevel="0" collapsed="false">
      <c r="A4" s="8" t="s">
        <v>238</v>
      </c>
      <c r="B4" s="7" t="s">
        <v>278</v>
      </c>
      <c r="C4" s="6" t="s">
        <v>272</v>
      </c>
      <c r="D4" s="7" t="s">
        <v>230</v>
      </c>
      <c r="E4" s="6" t="s">
        <v>277</v>
      </c>
      <c r="F4" s="6" t="s">
        <v>48</v>
      </c>
      <c r="G4" s="7" t="s">
        <v>229</v>
      </c>
      <c r="H4" s="6" t="s">
        <v>275</v>
      </c>
    </row>
    <row r="5" customFormat="false" ht="15" hidden="false" customHeight="false" outlineLevel="0" collapsed="false">
      <c r="A5" s="8" t="s">
        <v>155</v>
      </c>
      <c r="B5" s="7" t="s">
        <v>279</v>
      </c>
      <c r="C5" s="6" t="s">
        <v>272</v>
      </c>
      <c r="D5" s="7" t="s">
        <v>280</v>
      </c>
      <c r="E5" s="6" t="s">
        <v>277</v>
      </c>
      <c r="F5" s="6" t="s">
        <v>48</v>
      </c>
      <c r="G5" s="7" t="s">
        <v>145</v>
      </c>
      <c r="H5" s="6" t="s">
        <v>275</v>
      </c>
    </row>
    <row r="6" customFormat="false" ht="15" hidden="false" customHeight="false" outlineLevel="0" collapsed="false">
      <c r="A6" s="8" t="s">
        <v>227</v>
      </c>
      <c r="B6" s="7" t="s">
        <v>281</v>
      </c>
      <c r="C6" s="6" t="s">
        <v>272</v>
      </c>
      <c r="D6" s="7" t="s">
        <v>69</v>
      </c>
      <c r="E6" s="6" t="s">
        <v>277</v>
      </c>
      <c r="F6" s="6" t="s">
        <v>79</v>
      </c>
      <c r="G6" s="7" t="s">
        <v>220</v>
      </c>
      <c r="H6" s="6" t="s">
        <v>275</v>
      </c>
    </row>
    <row r="7" customFormat="false" ht="15" hidden="false" customHeight="false" outlineLevel="0" collapsed="false">
      <c r="A7" s="8" t="s">
        <v>258</v>
      </c>
      <c r="B7" s="7" t="s">
        <v>282</v>
      </c>
      <c r="C7" s="6" t="s">
        <v>272</v>
      </c>
      <c r="D7" s="7" t="s">
        <v>31</v>
      </c>
      <c r="E7" s="6" t="s">
        <v>277</v>
      </c>
      <c r="F7" s="6" t="s">
        <v>79</v>
      </c>
      <c r="G7" s="7" t="s">
        <v>250</v>
      </c>
      <c r="H7" s="6" t="s">
        <v>275</v>
      </c>
    </row>
    <row r="8" customFormat="false" ht="15" hidden="false" customHeight="false" outlineLevel="0" collapsed="false">
      <c r="A8" s="8" t="s">
        <v>199</v>
      </c>
      <c r="B8" s="7" t="s">
        <v>283</v>
      </c>
      <c r="C8" s="6" t="s">
        <v>89</v>
      </c>
      <c r="D8" s="7" t="s">
        <v>284</v>
      </c>
      <c r="E8" s="6" t="s">
        <v>277</v>
      </c>
      <c r="F8" s="6" t="s">
        <v>79</v>
      </c>
      <c r="G8" s="7" t="s">
        <v>192</v>
      </c>
      <c r="H8" s="6" t="s">
        <v>275</v>
      </c>
    </row>
    <row r="9" customFormat="false" ht="15" hidden="false" customHeight="false" outlineLevel="0" collapsed="false">
      <c r="A9" s="8" t="s">
        <v>208</v>
      </c>
      <c r="B9" s="7" t="s">
        <v>285</v>
      </c>
      <c r="C9" s="6" t="s">
        <v>47</v>
      </c>
      <c r="D9" s="7" t="s">
        <v>286</v>
      </c>
      <c r="E9" s="6" t="s">
        <v>277</v>
      </c>
      <c r="F9" s="6" t="s">
        <v>79</v>
      </c>
      <c r="G9" s="7" t="s">
        <v>201</v>
      </c>
      <c r="H9" s="6" t="s">
        <v>275</v>
      </c>
    </row>
  </sheetData>
  <autoFilter ref="A1:H9"/>
  <conditionalFormatting sqref="E2:E9">
    <cfRule type="cellIs" priority="2" operator="equal" aboveAverage="0" equalAverage="0" bottom="0" percent="0" rank="0" text="" dxfId="10">
      <formula>"Critique"</formula>
    </cfRule>
    <cfRule type="cellIs" priority="3" operator="equal" aboveAverage="0" equalAverage="0" bottom="0" percent="0" rank="0" text="" dxfId="6">
      <formula>"Majeure"</formula>
    </cfRule>
    <cfRule type="cellIs" priority="4" operator="equal" aboveAverage="0" equalAverage="0" bottom="0" percent="0" rank="0" text="" dxfId="7">
      <formula>"Mineure"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1" t="s">
        <v>287</v>
      </c>
    </row>
    <row r="2" customFormat="false" ht="15" hidden="false" customHeight="false" outlineLevel="0" collapsed="false">
      <c r="A2" s="9" t="s">
        <v>288</v>
      </c>
    </row>
    <row r="4" customFormat="false" ht="15" hidden="false" customHeight="false" outlineLevel="0" collapsed="false">
      <c r="A4" s="4" t="s">
        <v>12</v>
      </c>
      <c r="B4" s="4" t="s">
        <v>56</v>
      </c>
      <c r="C4" s="4" t="s">
        <v>154</v>
      </c>
      <c r="D4" s="4" t="s">
        <v>289</v>
      </c>
      <c r="E4" s="4" t="s">
        <v>290</v>
      </c>
      <c r="F4" s="4" t="s">
        <v>291</v>
      </c>
      <c r="G4" s="4" t="s">
        <v>292</v>
      </c>
    </row>
    <row r="5" customFormat="false" ht="15" hidden="false" customHeight="false" outlineLevel="0" collapsed="false">
      <c r="A5" s="10" t="s">
        <v>45</v>
      </c>
      <c r="B5" s="11" t="n">
        <f aca="false">COUNTIFS('Cas de test'!$B$2:$B$25,$A5,'Cas de test'!$M$2:$M$25,B$4)</f>
        <v>6</v>
      </c>
      <c r="C5" s="11" t="n">
        <f aca="false">COUNTIFS('Cas de test'!$B$2:$B$25,$A5,'Cas de test'!$M$2:$M$25,C$4)</f>
        <v>0</v>
      </c>
      <c r="D5" s="11" t="n">
        <f aca="false">COUNTIFS('Cas de test'!$B$2:$B$25,$A5,'Cas de test'!$M$2:$M$25,D$4)</f>
        <v>0</v>
      </c>
      <c r="E5" s="11" t="n">
        <f aca="false">COUNTIFS('Cas de test'!$B$2:$B$25,$A5,'Cas de test'!$M$2:$M$25,E$4)</f>
        <v>0</v>
      </c>
      <c r="F5" s="11" t="n">
        <f aca="false">SUM(B5:E5)</f>
        <v>6</v>
      </c>
      <c r="G5" s="12" t="n">
        <f aca="false">IF((B5+C5)=0,0,B5/(B5+C5))</f>
        <v>1</v>
      </c>
    </row>
    <row r="6" customFormat="false" ht="15" hidden="false" customHeight="false" outlineLevel="0" collapsed="false">
      <c r="A6" s="10" t="s">
        <v>108</v>
      </c>
      <c r="B6" s="11" t="n">
        <f aca="false">COUNTIFS('Cas de test'!$B$2:$B$25,$A6,'Cas de test'!$M$2:$M$25,B$4)</f>
        <v>5</v>
      </c>
      <c r="C6" s="11" t="n">
        <f aca="false">COUNTIFS('Cas de test'!$B$2:$B$25,$A6,'Cas de test'!$M$2:$M$25,C$4)</f>
        <v>1</v>
      </c>
      <c r="D6" s="11" t="n">
        <f aca="false">COUNTIFS('Cas de test'!$B$2:$B$25,$A6,'Cas de test'!$M$2:$M$25,D$4)</f>
        <v>0</v>
      </c>
      <c r="E6" s="11" t="n">
        <f aca="false">COUNTIFS('Cas de test'!$B$2:$B$25,$A6,'Cas de test'!$M$2:$M$25,E$4)</f>
        <v>0</v>
      </c>
      <c r="F6" s="11" t="n">
        <f aca="false">SUM(B6:E6)</f>
        <v>6</v>
      </c>
      <c r="G6" s="12" t="n">
        <f aca="false">IF((B6+C6)=0,0,B6/(B6+C6))</f>
        <v>0.833333333333333</v>
      </c>
    </row>
    <row r="7" customFormat="false" ht="15" hidden="false" customHeight="false" outlineLevel="0" collapsed="false">
      <c r="A7" s="10" t="s">
        <v>158</v>
      </c>
      <c r="B7" s="11" t="n">
        <f aca="false">COUNTIFS('Cas de test'!$B$2:$B$25,$A7,'Cas de test'!$M$2:$M$25,B$4)</f>
        <v>4</v>
      </c>
      <c r="C7" s="11" t="n">
        <f aca="false">COUNTIFS('Cas de test'!$B$2:$B$25,$A7,'Cas de test'!$M$2:$M$25,C$4)</f>
        <v>2</v>
      </c>
      <c r="D7" s="11" t="n">
        <f aca="false">COUNTIFS('Cas de test'!$B$2:$B$25,$A7,'Cas de test'!$M$2:$M$25,D$4)</f>
        <v>0</v>
      </c>
      <c r="E7" s="11" t="n">
        <f aca="false">COUNTIFS('Cas de test'!$B$2:$B$25,$A7,'Cas de test'!$M$2:$M$25,E$4)</f>
        <v>0</v>
      </c>
      <c r="F7" s="11" t="n">
        <f aca="false">SUM(B7:E7)</f>
        <v>6</v>
      </c>
      <c r="G7" s="12" t="n">
        <f aca="false">IF((B7+C7)=0,0,B7/(B7+C7))</f>
        <v>0.666666666666667</v>
      </c>
    </row>
    <row r="8" customFormat="false" ht="15" hidden="false" customHeight="false" outlineLevel="0" collapsed="false">
      <c r="A8" s="10" t="s">
        <v>211</v>
      </c>
      <c r="B8" s="11" t="n">
        <f aca="false">COUNTIFS('Cas de test'!$B$2:$B$25,$A8,'Cas de test'!$M$2:$M$25,B$4)</f>
        <v>1</v>
      </c>
      <c r="C8" s="11" t="n">
        <f aca="false">COUNTIFS('Cas de test'!$B$2:$B$25,$A8,'Cas de test'!$M$2:$M$25,C$4)</f>
        <v>5</v>
      </c>
      <c r="D8" s="11" t="n">
        <f aca="false">COUNTIFS('Cas de test'!$B$2:$B$25,$A8,'Cas de test'!$M$2:$M$25,D$4)</f>
        <v>0</v>
      </c>
      <c r="E8" s="11" t="n">
        <f aca="false">COUNTIFS('Cas de test'!$B$2:$B$25,$A8,'Cas de test'!$M$2:$M$25,E$4)</f>
        <v>0</v>
      </c>
      <c r="F8" s="11" t="n">
        <f aca="false">SUM(B8:E8)</f>
        <v>6</v>
      </c>
      <c r="G8" s="12" t="n">
        <f aca="false">IF((B8+C8)=0,0,B8/(B8+C8))</f>
        <v>0.166666666666667</v>
      </c>
    </row>
    <row r="9" customFormat="false" ht="15" hidden="false" customHeight="false" outlineLevel="0" collapsed="false">
      <c r="A9" s="10" t="s">
        <v>291</v>
      </c>
      <c r="B9" s="13" t="n">
        <f aca="false">SUM(B5:B8)</f>
        <v>16</v>
      </c>
      <c r="C9" s="13" t="n">
        <f aca="false">SUM(C5:C8)</f>
        <v>8</v>
      </c>
      <c r="D9" s="13" t="n">
        <f aca="false">SUM(D5:D8)</f>
        <v>0</v>
      </c>
      <c r="E9" s="13" t="n">
        <f aca="false">SUM(E5:E8)</f>
        <v>0</v>
      </c>
      <c r="F9" s="13" t="n">
        <f aca="false">SUM(F5:F8)</f>
        <v>24</v>
      </c>
      <c r="G9" s="14" t="n">
        <f aca="false">IF((B9+C9)=0,0,B9/(B9+C9))</f>
        <v>0.666666666666667</v>
      </c>
    </row>
    <row r="11" customFormat="false" ht="15" hidden="false" customHeight="false" outlineLevel="0" collapsed="false">
      <c r="A11" s="2" t="s">
        <v>293</v>
      </c>
    </row>
    <row r="12" customFormat="false" ht="15" hidden="false" customHeight="false" outlineLevel="0" collapsed="false">
      <c r="A12" s="15" t="s">
        <v>294</v>
      </c>
      <c r="B12" s="13" t="n">
        <f aca="false">F9</f>
        <v>24</v>
      </c>
    </row>
    <row r="13" customFormat="false" ht="15" hidden="false" customHeight="false" outlineLevel="0" collapsed="false">
      <c r="A13" s="15" t="s">
        <v>295</v>
      </c>
      <c r="B13" s="13" t="n">
        <f aca="false">B9+C9</f>
        <v>24</v>
      </c>
    </row>
    <row r="14" customFormat="false" ht="15" hidden="false" customHeight="false" outlineLevel="0" collapsed="false">
      <c r="A14" s="15" t="s">
        <v>296</v>
      </c>
      <c r="B14" s="14" t="n">
        <f aca="false">(B9+C9)/F9</f>
        <v>1</v>
      </c>
    </row>
    <row r="15" customFormat="false" ht="15" hidden="false" customHeight="false" outlineLevel="0" collapsed="false">
      <c r="A15" s="15" t="s">
        <v>297</v>
      </c>
      <c r="B15" s="14" t="n">
        <f aca="false">G9</f>
        <v>0.666666666666667</v>
      </c>
    </row>
    <row r="16" customFormat="false" ht="15" hidden="false" customHeight="false" outlineLevel="0" collapsed="false">
      <c r="A16" s="15" t="s">
        <v>298</v>
      </c>
      <c r="B16" s="13" t="n">
        <f aca="false">COUNTIFS('Cas de test'!$E$2:$E$25,"P1",'Cas de test'!$M$2:$M$25,"Fail")</f>
        <v>7</v>
      </c>
    </row>
    <row r="17" customFormat="false" ht="15" hidden="false" customHeight="false" outlineLevel="0" collapsed="false">
      <c r="A17" s="15" t="s">
        <v>299</v>
      </c>
      <c r="B17" s="13" t="n">
        <f aca="false">COUNTIF('Cas de test'!$E$2:$E$25,"P1")</f>
        <v>18</v>
      </c>
    </row>
    <row r="18" customFormat="false" ht="15" hidden="false" customHeight="false" outlineLevel="0" collapsed="false">
      <c r="A18" s="15" t="s">
        <v>300</v>
      </c>
      <c r="B18" s="13" t="n">
        <f aca="false">COUNTA(Bugs!$A$2:$A$9)</f>
        <v>8</v>
      </c>
    </row>
    <row r="21" customFormat="false" ht="15" hidden="false" customHeight="false" outlineLevel="0" collapsed="false">
      <c r="A21" s="4" t="s">
        <v>269</v>
      </c>
      <c r="B21" s="4" t="s">
        <v>48</v>
      </c>
      <c r="C21" s="4" t="s">
        <v>79</v>
      </c>
      <c r="D21" s="4" t="s">
        <v>301</v>
      </c>
      <c r="E21" s="4" t="s">
        <v>291</v>
      </c>
    </row>
    <row r="22" customFormat="false" ht="15" hidden="false" customHeight="false" outlineLevel="0" collapsed="false">
      <c r="A22" s="10" t="s">
        <v>274</v>
      </c>
      <c r="B22" s="11" t="n">
        <f aca="false">COUNTIFS(Bugs!$E$2:$E$9,$A22,Bugs!$F$2:$F$9,B$21)</f>
        <v>1</v>
      </c>
      <c r="C22" s="11" t="n">
        <f aca="false">COUNTIFS(Bugs!$E$2:$E$9,$A22,Bugs!$F$2:$F$9,C$21)</f>
        <v>0</v>
      </c>
      <c r="D22" s="11" t="n">
        <f aca="false">COUNTIFS(Bugs!$E$2:$E$9,$A22,Bugs!$F$2:$F$9,D$21)</f>
        <v>0</v>
      </c>
      <c r="E22" s="11" t="n">
        <f aca="false">SUM(B22:D22)</f>
        <v>1</v>
      </c>
    </row>
    <row r="23" customFormat="false" ht="15" hidden="false" customHeight="false" outlineLevel="0" collapsed="false">
      <c r="A23" s="10" t="s">
        <v>277</v>
      </c>
      <c r="B23" s="11" t="n">
        <f aca="false">COUNTIFS(Bugs!$E$2:$E$9,$A23,Bugs!$F$2:$F$9,B$21)</f>
        <v>3</v>
      </c>
      <c r="C23" s="11" t="n">
        <f aca="false">COUNTIFS(Bugs!$E$2:$E$9,$A23,Bugs!$F$2:$F$9,C$21)</f>
        <v>4</v>
      </c>
      <c r="D23" s="11" t="n">
        <f aca="false">COUNTIFS(Bugs!$E$2:$E$9,$A23,Bugs!$F$2:$F$9,D$21)</f>
        <v>0</v>
      </c>
      <c r="E23" s="11" t="n">
        <f aca="false">SUM(B23:D23)</f>
        <v>7</v>
      </c>
    </row>
    <row r="24" customFormat="false" ht="15" hidden="false" customHeight="false" outlineLevel="0" collapsed="false">
      <c r="A24" s="10" t="s">
        <v>302</v>
      </c>
      <c r="B24" s="11" t="n">
        <f aca="false">COUNTIFS(Bugs!$E$2:$E$9,$A24,Bugs!$F$2:$F$9,B$21)</f>
        <v>0</v>
      </c>
      <c r="C24" s="11" t="n">
        <f aca="false">COUNTIFS(Bugs!$E$2:$E$9,$A24,Bugs!$F$2:$F$9,C$21)</f>
        <v>0</v>
      </c>
      <c r="D24" s="11" t="n">
        <f aca="false">COUNTIFS(Bugs!$E$2:$E$9,$A24,Bugs!$F$2:$F$9,D$21)</f>
        <v>0</v>
      </c>
      <c r="E24" s="11" t="n">
        <f aca="false">SUM(B24:D24)</f>
        <v>0</v>
      </c>
    </row>
    <row r="25" customFormat="false" ht="15" hidden="false" customHeight="false" outlineLevel="0" collapsed="false">
      <c r="A25" s="10" t="s">
        <v>291</v>
      </c>
      <c r="B25" s="13" t="n">
        <f aca="false">SUM(B22:B24)</f>
        <v>4</v>
      </c>
      <c r="C25" s="13" t="n">
        <f aca="false">SUM(C22:C24)</f>
        <v>4</v>
      </c>
      <c r="D25" s="13" t="n">
        <f aca="false">SUM(D22:D24)</f>
        <v>0</v>
      </c>
      <c r="E25" s="13" t="n">
        <f aca="false">SUM(E22:E24)</f>
        <v>8</v>
      </c>
    </row>
    <row r="27" customFormat="false" ht="15" hidden="false" customHeight="false" outlineLevel="0" collapsed="false">
      <c r="A27" s="16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2026-10-13T12:28:31Z</dcterms:created>
  <dc:creator>openpyxl</dc:creator>
  <dc:description/>
  <dc:language>en-US</dc:language>
  <cp:lastModifiedBy/>
  <dcterms:modified xsi:type="dcterms:W3CDTF">2026-10-13T12:28:31Z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